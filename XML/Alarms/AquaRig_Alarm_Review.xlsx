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hanHenrikErdal\Downloads\"/>
    </mc:Choice>
  </mc:AlternateContent>
  <xr:revisionPtr revIDLastSave="0" documentId="13_ncr:1_{BCFF2DC7-2985-423B-83CB-252DF498D36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Overview" sheetId="1" r:id="rId1"/>
    <sheet name="Alarm list" sheetId="2" r:id="rId2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 a="1"/>
  <c r="D6" i="2" s="1"/>
  <c r="F6" i="2" s="1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H6" i="2"/>
  <c r="B6" i="2"/>
  <c r="G7" i="1"/>
  <c r="C7" i="1"/>
  <c r="E7" i="1" s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<sst xmlns="http://schemas.openxmlformats.org/spreadsheetml/2006/main" count="888" uniqueCount="418">
  <si>
    <t>Aqua Rig alarm review</t>
  </si>
  <si>
    <t>AR-V1-01-RE26   /   23 October 2026</t>
  </si>
  <si>
    <t>LISTED TAGS</t>
  </si>
  <si>
    <t>PROPOSED NOTIFY</t>
  </si>
  <si>
    <t>PROPOSED NO NOTIFY</t>
  </si>
  <si>
    <t>HMI ENABLED</t>
  </si>
  <si>
    <t>Configuration basis</t>
  </si>
  <si>
    <t>Site / module</t>
  </si>
  <si>
    <t>AR-V1-01-RE26 - Aqua Rig</t>
  </si>
  <si>
    <t>Scope</t>
  </si>
  <si>
    <t>89 Boolean alarms and 20 diagnostic companions. All 109 GVL variables are listed.</t>
  </si>
  <si>
    <t>HMI source</t>
  </si>
  <si>
    <t>Latest AquaRig_Alarms_Import.xml, including the agreed PT123, PT191 and VFD adjustments.</t>
  </si>
  <si>
    <t>Notify proposal</t>
  </si>
  <si>
    <t>Boolean alarm Notify follows HMI Enabled as a proposal only. Diagnostic fields are proposed FALSE.</t>
  </si>
  <si>
    <t>JSON status</t>
  </si>
  <si>
    <t>No Aqua Rig notification JSON was supplied. Routing and Type values require confirmation before JSON generation.</t>
  </si>
  <si>
    <t>Description</t>
  </si>
  <si>
    <t>Boolean alarm descriptions are copied from the current HMI XML. [!tag] references preserve the captured value.</t>
  </si>
  <si>
    <t>Notify editing</t>
  </si>
  <si>
    <t>TRUE/FALSE are native Boolean values. In Excel, use Insert &gt; Checkbox if desired. Blank means undecided.</t>
  </si>
  <si>
    <t>Agreed alarm behaviour</t>
  </si>
  <si>
    <t>PT122 / PT123</t>
  </si>
  <si>
    <t>Only YF and WH enabled for both pressure transmitters.</t>
  </si>
  <si>
    <t>PT191</t>
  </si>
  <si>
    <t>Only YF enabled. All pressure limits and warnings disabled.</t>
  </si>
  <si>
    <t>VFD feedback</t>
  </si>
  <si>
    <t>VFD101 / 111 / 121 / 122: only YF enabled. AHH / WH / WL / ALL disabled.</t>
  </si>
  <si>
    <t>VFD digital fault</t>
  </si>
  <si>
    <t>All four VFD F_Y signals disabled; faults represented by the SBE alarms.</t>
  </si>
  <si>
    <t>Presentation</t>
  </si>
  <si>
    <t>No Machine 1 text in descriptions. Every _YF description includes Fault.</t>
  </si>
  <si>
    <t>Review before notification JSON is generated</t>
  </si>
  <si>
    <t>Confirm the proposed Notify values independently of HMI Enabled, including TestAlarm.</t>
  </si>
  <si>
    <t>Confirm Type categories for new SBE / OA alarms. Current categories follow the HMI groups.</t>
  </si>
  <si>
    <t>Confirm diagnostic routing. YFI codes and YFS / FaultStatus strings are proposed no_notify.</t>
  </si>
  <si>
    <t>Check valve string lengths: GVL declares STRING(40), while the data model exports string-81.</t>
  </si>
  <si>
    <t>Sources</t>
  </si>
  <si>
    <t>Alarm content: AquaRig_Alarms_Import.xml (latest agreed revision in this chat).</t>
  </si>
  <si>
    <t>Names / types: supplied Aqua Rig Alarms GVL and OPCUA Client_dataModel.xml.</t>
  </si>
  <si>
    <t>Workbook structure: Kristiansand Alarm JSON Review v3. Style: Renasys Ignition presentation, 8 October 2026.</t>
  </si>
  <si>
    <t>Aqua Rig alarm list</t>
  </si>
  <si>
    <t>AR-V1-01-RE26 - All alarm flags and diagnostic fields</t>
  </si>
  <si>
    <t>Notify values are proposals for external notifications. HMI Enabled is shown separately.</t>
  </si>
  <si>
    <t>No Aqua Rig notification JSON supplied. All routing values require review.</t>
  </si>
  <si>
    <t>Listed tags</t>
  </si>
  <si>
    <t>Proposed notify</t>
  </si>
  <si>
    <t>Proposed no_notify</t>
  </si>
  <si>
    <t>Undecided</t>
  </si>
  <si>
    <t>Notify: editable TRUE/FALSE. HMI Enabled: current XML setting; n.a. indicates a diagnostic companion, not an independent alarm.</t>
  </si>
  <si>
    <t>Tag</t>
  </si>
  <si>
    <t>Notify</t>
  </si>
  <si>
    <t>Type</t>
  </si>
  <si>
    <t>Routing status</t>
  </si>
  <si>
    <t>OPC UA type</t>
  </si>
  <si>
    <t>Notes / action</t>
  </si>
  <si>
    <t>HMI Enabled</t>
  </si>
  <si>
    <t>HMI source path</t>
  </si>
  <si>
    <t>TestAlarm</t>
  </si>
  <si>
    <t>ALARM</t>
  </si>
  <si>
    <t>Test alarm - Test alarm signal</t>
  </si>
  <si>
    <t>BOOL</t>
  </si>
  <si>
    <t>Test signal. Confirm external notification routing.</t>
  </si>
  <si>
    <t>HMI_COM_OPC/Alarms/TestAlarm</t>
  </si>
  <si>
    <t>M1_WaterFlushingSM_ColdValve_Fault</t>
  </si>
  <si>
    <t>FAULT</t>
  </si>
  <si>
    <t>POV121 - Water flushing - Cold Valve - [!HMI_COM_OPC/Alarms/M1_WaterFlushingSM_ColdValve_FaultStatus]</t>
  </si>
  <si>
    <t>HMI_COM_OPC/Alarms/M1_WaterFlushingSM_ColdValve_Fault</t>
  </si>
  <si>
    <t>M1_WaterFlushingSM_WarmValve_Fault</t>
  </si>
  <si>
    <t>POV122 - Water flushing - Warm Valve - [!HMI_COM_OPC/Alarms/M1_WaterFlushingSM_WarmValve_FaultStatus]</t>
  </si>
  <si>
    <t>HMI_COM_OPC/Alarms/M1_WaterFlushingSM_WarmValve_Fault</t>
  </si>
  <si>
    <t>M1_WaterFlushingSM_PumpSelectionValve_Fault</t>
  </si>
  <si>
    <t>POV123 - Water flushing - Pump selection valve fault - [!HMI_COM_OPC/Alarms/M1_WaterFlushingSM_PumpSelectionValve_FaultStatus]</t>
  </si>
  <si>
    <t>HMI_COM_OPC/Alarms/M1_WaterFlushingSM_PumpSelectionValve_Fault</t>
  </si>
  <si>
    <t>M1_DrumMotor_SBE_YF</t>
  </si>
  <si>
    <t>M101 - Drum motor - SBE Fault - [!HMI_COM_OPC/Alarms/M1_DrumMotor_SBE_YFS]</t>
  </si>
  <si>
    <t>HMI_COM_OPC/Alarms/M1_DrumMotor_SBE_YF</t>
  </si>
  <si>
    <t>M1_DrumMotor_OA_YF</t>
  </si>
  <si>
    <t>M101 - Drum motor - Output function Fault - [!HMI_COM_OPC/Alarms/M1_DrumMotor_OA_YFS]</t>
  </si>
  <si>
    <t>HMI_COM_OPC/Alarms/M1_DrumMotor_OA_YF</t>
  </si>
  <si>
    <t>M1_DrumMotor_OA_WV</t>
  </si>
  <si>
    <t>M101 - Drum motor - Output deviation warning</t>
  </si>
  <si>
    <t>HMI_COM_OPC/Alarms/M1_DrumMotor_OA_WV</t>
  </si>
  <si>
    <t>M1_HybridPump_OutletValve_Fault</t>
  </si>
  <si>
    <t>POV111 - Hybrid pump - Outlet valve fault - [!HMI_COM_OPC/Alarms/M1_HybridPump_OutletValve_FaultStatus]</t>
  </si>
  <si>
    <t>HMI_COM_OPC/Alarms/M1_HybridPump_OutletValve_Fault</t>
  </si>
  <si>
    <t>M1_HybridPump_SBE_YF</t>
  </si>
  <si>
    <t>P111 - Inlet / hybrid pump - SBE Fault - [!HMI_COM_OPC/Alarms/M1_HybridPump_SBE_YFS]</t>
  </si>
  <si>
    <t>HMI_COM_OPC/Alarms/M1_HybridPump_SBE_YF</t>
  </si>
  <si>
    <t>M1_HybridPump_OA_YF</t>
  </si>
  <si>
    <t>P111 - Inlet / hybrid pump - Output function Fault - [!HMI_COM_OPC/Alarms/M1_HybridPump_OA_YFS]</t>
  </si>
  <si>
    <t>HMI_COM_OPC/Alarms/M1_HybridPump_OA_YF</t>
  </si>
  <si>
    <t>M1_HybridPump_OA_WV</t>
  </si>
  <si>
    <t>P111 - Inlet / hybrid pump - Output deviation warning</t>
  </si>
  <si>
    <t>HMI_COM_OPC/Alarms/M1_HybridPump_OA_WV</t>
  </si>
  <si>
    <t>M1_HighPressurePump_LossFreshWater</t>
  </si>
  <si>
    <t>P121 - High pressure pump (HPP) - Loss of freshwater</t>
  </si>
  <si>
    <t>HMI_COM_OPC/Alarms/M1_HighPressurePump_LossFreshWater</t>
  </si>
  <si>
    <t>M1_HighPressurePump_SBE_YF</t>
  </si>
  <si>
    <t>P121 - High pressure pump (HPP) - SBE Fault - [!HMI_COM_OPC/Alarms/M1_HighPressurePump_SBE_YFS]</t>
  </si>
  <si>
    <t>HMI_COM_OPC/Alarms/M1_HighPressurePump_SBE_YF</t>
  </si>
  <si>
    <t>M1_HighPressurePump_OA_YF</t>
  </si>
  <si>
    <t>P121 - High pressure pump (HPP) - Output function Fault - [!HMI_COM_OPC/Alarms/M1_HighPressurePump_OA_YFS]</t>
  </si>
  <si>
    <t>HMI_COM_OPC/Alarms/M1_HighPressurePump_OA_YF</t>
  </si>
  <si>
    <t>M1_HighPressurePump_OA_WV</t>
  </si>
  <si>
    <t>P121 - High pressure pump (HPP) - Output deviation warning</t>
  </si>
  <si>
    <t>HMI_COM_OPC/Alarms/M1_HighPressurePump_OA_WV</t>
  </si>
  <si>
    <t>M1_PressureIncreasingPump_LossFreshWater</t>
  </si>
  <si>
    <t>P122 - Pressure increasing pump (PIP) - Loss of freshwater</t>
  </si>
  <si>
    <t>HMI_COM_OPC/Alarms/M1_PressureIncreasingPump_LossFreshWater</t>
  </si>
  <si>
    <t>M1_PressureIncreasingPump_SBE_YF</t>
  </si>
  <si>
    <t>P122 - Pressure increasing pump (PIP) - SBE Fault - [!HMI_COM_OPC/Alarms/M1_PressureIncreasingPump_SBE_YFS]</t>
  </si>
  <si>
    <t>HMI_COM_OPC/Alarms/M1_PressureIncreasingPump_SBE_YF</t>
  </si>
  <si>
    <t>M1_PressureIncreasingPump_OA_YF</t>
  </si>
  <si>
    <t>P122 - Pressure increasing pump (PIP) - Output function Fault - [!HMI_COM_OPC/Alarms/M1_PressureIncreasingPump_OA_YFS]</t>
  </si>
  <si>
    <t>HMI_COM_OPC/Alarms/M1_PressureIncreasingPump_OA_YF</t>
  </si>
  <si>
    <t>M1_PressureIncreasingPump_OA_WV</t>
  </si>
  <si>
    <t>P122 - Pressure increasing pump (PIP) - Output deviation warning</t>
  </si>
  <si>
    <t>HMI_COM_OPC/Alarms/M1_PressureIncreasingPump_OA_WV</t>
  </si>
  <si>
    <t>M1_Airknife_LowPressure</t>
  </si>
  <si>
    <t>FRL151 - Airknife - Low Pressure</t>
  </si>
  <si>
    <t>HMI_COM_OPC/Alarms/M1_Airknife_LowPressure</t>
  </si>
  <si>
    <t>VFD111_YF</t>
  </si>
  <si>
    <t>P111 - Inlet / hybrid pump - Speed feedback - Signal Fault</t>
  </si>
  <si>
    <t>HMI_COM_OPC/Alarms/VFD111_YF</t>
  </si>
  <si>
    <t>VFD111_AHH</t>
  </si>
  <si>
    <t>P111 - Inlet / hybrid pump - Speed feedback - Limit - HH, value: [!HMI_COM_OPC/OS_OUT/VFD111_Y]</t>
  </si>
  <si>
    <t>Disabled: only VFD YF is enabled.</t>
  </si>
  <si>
    <t>HMI_COM_OPC/Alarms/VFD111_AHH</t>
  </si>
  <si>
    <t>VFD111_WH</t>
  </si>
  <si>
    <t>P111 - Inlet / hybrid pump - Speed feedback - Warning - H, value: [!HMI_COM_OPC/OS_OUT/VFD111_Y]</t>
  </si>
  <si>
    <t>HMI_COM_OPC/Alarms/VFD111_WH</t>
  </si>
  <si>
    <t>VFD111_WL</t>
  </si>
  <si>
    <t>P111 - Inlet / hybrid pump - Speed feedback - Warning - L, value: [!HMI_COM_OPC/OS_OUT/VFD111_Y]</t>
  </si>
  <si>
    <t>HMI_COM_OPC/Alarms/VFD111_WL</t>
  </si>
  <si>
    <t>VFD111_ALL</t>
  </si>
  <si>
    <t>P111 - Inlet / hybrid pump - Speed feedback - Limit - LL, value: [!HMI_COM_OPC/OS_OUT/VFD111_Y]</t>
  </si>
  <si>
    <t>HMI_COM_OPC/Alarms/VFD111_ALL</t>
  </si>
  <si>
    <t>VFD121_YF</t>
  </si>
  <si>
    <t>P121 - High pressure pump (HPP) - Speed feedback - Signal Fault</t>
  </si>
  <si>
    <t>HMI_COM_OPC/Alarms/VFD121_YF</t>
  </si>
  <si>
    <t>VFD121_AHH</t>
  </si>
  <si>
    <t>P121 - High pressure pump (HPP) - Speed feedback - Limit - HH, value: [!HMI_COM_OPC/OS_OUT/VFD121_Y]</t>
  </si>
  <si>
    <t>HMI_COM_OPC/Alarms/VFD121_AHH</t>
  </si>
  <si>
    <t>VFD121_WH</t>
  </si>
  <si>
    <t>P121 - High pressure pump (HPP) - Speed feedback - Warning - H, value: [!HMI_COM_OPC/OS_OUT/VFD121_Y]</t>
  </si>
  <si>
    <t>HMI_COM_OPC/Alarms/VFD121_WH</t>
  </si>
  <si>
    <t>VFD121_WL</t>
  </si>
  <si>
    <t>P121 - High pressure pump (HPP) - Speed feedback - Warning - L, value: [!HMI_COM_OPC/OS_OUT/VFD121_Y]</t>
  </si>
  <si>
    <t>HMI_COM_OPC/Alarms/VFD121_WL</t>
  </si>
  <si>
    <t>VFD121_ALL</t>
  </si>
  <si>
    <t>P121 - High pressure pump (HPP) - Speed feedback - Limit - LL, value: [!HMI_COM_OPC/OS_OUT/VFD121_Y]</t>
  </si>
  <si>
    <t>HMI_COM_OPC/Alarms/VFD121_ALL</t>
  </si>
  <si>
    <t>VFD122_YF</t>
  </si>
  <si>
    <t>P122 - Pressure increasing pump (PIP) - Speed feedback - Signal Fault</t>
  </si>
  <si>
    <t>HMI_COM_OPC/Alarms/VFD122_YF</t>
  </si>
  <si>
    <t>VFD122_AHH</t>
  </si>
  <si>
    <t>P122 - Pressure increasing pump (PIP) - Speed feedback - Limit - HH, value: [!HMI_COM_OPC/OS_OUT/VFD122_Y]</t>
  </si>
  <si>
    <t>HMI_COM_OPC/Alarms/VFD122_AHH</t>
  </si>
  <si>
    <t>VFD122_WH</t>
  </si>
  <si>
    <t>P122 - Pressure increasing pump (PIP) - Speed feedback - Warning - H, value: [!HMI_COM_OPC/OS_OUT/VFD122_Y]</t>
  </si>
  <si>
    <t>HMI_COM_OPC/Alarms/VFD122_WH</t>
  </si>
  <si>
    <t>VFD122_WL</t>
  </si>
  <si>
    <t>P122 - Pressure increasing pump (PIP) - Speed feedback - Warning - L, value: [!HMI_COM_OPC/OS_OUT/VFD122_Y]</t>
  </si>
  <si>
    <t>HMI_COM_OPC/Alarms/VFD122_WL</t>
  </si>
  <si>
    <t>VFD122_ALL</t>
  </si>
  <si>
    <t>P122 - Pressure increasing pump (PIP) - Speed feedback - Limit - LL, value: [!HMI_COM_OPC/OS_OUT/VFD122_Y]</t>
  </si>
  <si>
    <t>HMI_COM_OPC/Alarms/VFD122_ALL</t>
  </si>
  <si>
    <t>VFD101_YF</t>
  </si>
  <si>
    <t>M101 - Drum filter - Speed feedback - Signal Fault</t>
  </si>
  <si>
    <t>HMI_COM_OPC/Alarms/VFD101_YF</t>
  </si>
  <si>
    <t>VFD101_AHH</t>
  </si>
  <si>
    <t>M101 - Drum filter - Speed feedback - Limit - HH, value: [!HMI_COM_OPC/OS_OUT/VFD101_Y]</t>
  </si>
  <si>
    <t>HMI_COM_OPC/Alarms/VFD101_AHH</t>
  </si>
  <si>
    <t>VFD101_WH</t>
  </si>
  <si>
    <t>M101 - Drum filter - Speed feedback - Warning - H, value: [!HMI_COM_OPC/OS_OUT/VFD101_Y]</t>
  </si>
  <si>
    <t>HMI_COM_OPC/Alarms/VFD101_WH</t>
  </si>
  <si>
    <t>VFD101_WL</t>
  </si>
  <si>
    <t>M101 - Drum filter - Speed feedback - Warning - L, value: [!HMI_COM_OPC/OS_OUT/VFD101_Y]</t>
  </si>
  <si>
    <t>HMI_COM_OPC/Alarms/VFD101_WL</t>
  </si>
  <si>
    <t>VFD101_ALL</t>
  </si>
  <si>
    <t>M101 - Drum filter - Speed feedback - Limit - LL, value: [!HMI_COM_OPC/OS_OUT/VFD101_Y]</t>
  </si>
  <si>
    <t>HMI_COM_OPC/Alarms/VFD101_ALL</t>
  </si>
  <si>
    <t>FRL151_YF</t>
  </si>
  <si>
    <t>FRL151 - Airknive FRL - Fault</t>
  </si>
  <si>
    <t>HMI_COM_OPC/Alarms/FRL151_YF</t>
  </si>
  <si>
    <t>FRL151_AHH</t>
  </si>
  <si>
    <t>FRL151 - Airknive FRL - Limit - HH, value: [!HMI_COM_OPC/OS_OUT/FRL151_Y]</t>
  </si>
  <si>
    <t>Disabled in the agreed HMI alarm configuration.</t>
  </si>
  <si>
    <t>HMI_COM_OPC/Alarms/FRL151_AHH</t>
  </si>
  <si>
    <t>FRL151_WH</t>
  </si>
  <si>
    <t>FRL151 - Airknive FRL - Warning - H, value: [!HMI_COM_OPC/OS_OUT/FRL151_Y]</t>
  </si>
  <si>
    <t>HMI_COM_OPC/Alarms/FRL151_WH</t>
  </si>
  <si>
    <t>FRL151_WL</t>
  </si>
  <si>
    <t>FRL151 - Airknive FRL - Warning - L, value: [!HMI_COM_OPC/OS_OUT/FRL151_Y]</t>
  </si>
  <si>
    <t>HMI_COM_OPC/Alarms/FRL151_WL</t>
  </si>
  <si>
    <t>FRL151_ALL</t>
  </si>
  <si>
    <t>FRL151 - Airknive FRL - Limit - LL, value: [!HMI_COM_OPC/OS_OUT/FRL151_Y]</t>
  </si>
  <si>
    <t>HMI_COM_OPC/Alarms/FRL151_ALL</t>
  </si>
  <si>
    <t>FT111_YF</t>
  </si>
  <si>
    <t>FT111 - Flowmeter - Fault</t>
  </si>
  <si>
    <t>HMI_COM_OPC/Alarms/FT111_YF</t>
  </si>
  <si>
    <t>FT111_AHH</t>
  </si>
  <si>
    <t>FT111 - Flowmeter - Limit - HH, value: [!HMI_COM_OPC/OS_OUT/FT111_Y]</t>
  </si>
  <si>
    <t>HMI_COM_OPC/Alarms/FT111_AHH</t>
  </si>
  <si>
    <t>FT111_WH</t>
  </si>
  <si>
    <t>FT111 - Flowmeter - Warning - H, value: [!HMI_COM_OPC/OS_OUT/FT111_Y]</t>
  </si>
  <si>
    <t>HMI_COM_OPC/Alarms/FT111_WH</t>
  </si>
  <si>
    <t>FT111_WL</t>
  </si>
  <si>
    <t>FT111 - Flowmeter - Warning - L, value: [!HMI_COM_OPC/OS_OUT/FT111_Y]</t>
  </si>
  <si>
    <t>HMI_COM_OPC/Alarms/FT111_WL</t>
  </si>
  <si>
    <t>FT111_ALL</t>
  </si>
  <si>
    <t>FT111 - Flowmeter - Limit - LL, value: [!HMI_COM_OPC/OS_OUT/FT111_Y]</t>
  </si>
  <si>
    <t>HMI_COM_OPC/Alarms/FT111_ALL</t>
  </si>
  <si>
    <t>LT111_YF</t>
  </si>
  <si>
    <t>LT111 - Drum filter - Leveltransmitter - Fault</t>
  </si>
  <si>
    <t>HMI_COM_OPC/Alarms/LT111_YF</t>
  </si>
  <si>
    <t>LT111_AHH</t>
  </si>
  <si>
    <t>LT111 - Drum filter - Limit - HH, value: [!HMI_COM_OPC/OS_OUT/LT111_Y]</t>
  </si>
  <si>
    <t>HMI_COM_OPC/Alarms/LT111_AHH</t>
  </si>
  <si>
    <t>LT111_WH</t>
  </si>
  <si>
    <t>LT111 - Drum filter - Warning - H, value: [!HMI_COM_OPC/OS_OUT/LT111_Y]</t>
  </si>
  <si>
    <t>HMI_COM_OPC/Alarms/LT111_WH</t>
  </si>
  <si>
    <t>LT111_WL</t>
  </si>
  <si>
    <t>LT111 - Drum filter - Warning - L, value: [!HMI_COM_OPC/OS_OUT/LT111_Y]</t>
  </si>
  <si>
    <t>HMI_COM_OPC/Alarms/LT111_WL</t>
  </si>
  <si>
    <t>LT111_ALL</t>
  </si>
  <si>
    <t>LT111 - Drum filter - Limit - LL, value: [!HMI_COM_OPC/OS_OUT/LT111_Y]</t>
  </si>
  <si>
    <t>HMI_COM_OPC/Alarms/LT111_ALL</t>
  </si>
  <si>
    <t>PT151_YF</t>
  </si>
  <si>
    <t>PT151 - Instrument air - Pressuretransmitter - Fault</t>
  </si>
  <si>
    <t>HMI_COM_OPC/Alarms/PT151_YF</t>
  </si>
  <si>
    <t>PT151_AHH</t>
  </si>
  <si>
    <t>PT151 - Instrument air - Limit - HH, value: [!HMI_COM_OPC/OS_OUT/PT151_Y]</t>
  </si>
  <si>
    <t>HMI_COM_OPC/Alarms/PT151_AHH</t>
  </si>
  <si>
    <t>PT151_WH</t>
  </si>
  <si>
    <t>PT151 - Instrument air - Warning - H, value: [!HMI_COM_OPC/OS_OUT/PT151_Y]</t>
  </si>
  <si>
    <t>HMI_COM_OPC/Alarms/PT151_WH</t>
  </si>
  <si>
    <t>PT151_WL</t>
  </si>
  <si>
    <t>PT151 - Instrument air - Warning - L, value: [!HMI_COM_OPC/OS_OUT/PT151_Y]</t>
  </si>
  <si>
    <t>HMI_COM_OPC/Alarms/PT151_WL</t>
  </si>
  <si>
    <t>PT151_ALL</t>
  </si>
  <si>
    <t>PT151 - Instrument air - Limit - LL, value: [!HMI_COM_OPC/OS_OUT/PT151_Y]</t>
  </si>
  <si>
    <t>HMI_COM_OPC/Alarms/PT151_ALL</t>
  </si>
  <si>
    <t>PT121_YF</t>
  </si>
  <si>
    <t>PT121 - Pressure transmitter - Main water supply - Fault</t>
  </si>
  <si>
    <t>HMI_COM_OPC/Alarms/PT121_YF</t>
  </si>
  <si>
    <t>PT121_AHH</t>
  </si>
  <si>
    <t>PT121 - Pressure transmitter - Limit - HH - Main water supply, value: [!HMI_COM_OPC/OS_OUT/PT121_Y]</t>
  </si>
  <si>
    <t>HMI_COM_OPC/Alarms/PT121_AHH</t>
  </si>
  <si>
    <t>PT121_WH</t>
  </si>
  <si>
    <t>PT121 - Pressure transmitter - Warning - H - Main water supply, value: [!HMI_COM_OPC/OS_OUT/PT121_Y]</t>
  </si>
  <si>
    <t>HMI_COM_OPC/Alarms/PT121_WH</t>
  </si>
  <si>
    <t>PT121_WL</t>
  </si>
  <si>
    <t>PT121 - Pressure transmitter - Warning - L - Main water supply, value: [!HMI_COM_OPC/OS_OUT/PT121_Y]</t>
  </si>
  <si>
    <t>HMI_COM_OPC/Alarms/PT121_WL</t>
  </si>
  <si>
    <t>PT121_ALL</t>
  </si>
  <si>
    <t>PT121 - Pressure transmitter - Limit - LL - Main water supply, value: [!HMI_COM_OPC/OS_OUT/PT121_Y]</t>
  </si>
  <si>
    <t>HMI_COM_OPC/Alarms/PT121_ALL</t>
  </si>
  <si>
    <t>PT122_YF</t>
  </si>
  <si>
    <t>PT122 - High pressure pump (HPP) - Pressuretransmitter - Fault</t>
  </si>
  <si>
    <t>HMI_COM_OPC/Alarms/PT122_YF</t>
  </si>
  <si>
    <t>PT122_AHH</t>
  </si>
  <si>
    <t>PT122 - High pressure pump (HPP) - Limit - HH, value: [!HMI_COM_OPC/OS_OUT/PT122_Y]</t>
  </si>
  <si>
    <t>HMI_COM_OPC/Alarms/PT122_AHH</t>
  </si>
  <si>
    <t>PT122_WH</t>
  </si>
  <si>
    <t>PT122 - High pressure pump (HPP) - Warning - H, value: [!HMI_COM_OPC/OS_OUT/PT122_Y]</t>
  </si>
  <si>
    <t>HMI_COM_OPC/Alarms/PT122_WH</t>
  </si>
  <si>
    <t>PT122_WL</t>
  </si>
  <si>
    <t>PT122 - High pressure pump (HPP) - Warning - L, value: [!HMI_COM_OPC/OS_OUT/PT122_Y]</t>
  </si>
  <si>
    <t>HMI_COM_OPC/Alarms/PT122_WL</t>
  </si>
  <si>
    <t>PT122_ALL</t>
  </si>
  <si>
    <t>PT122 - High pressure pump (HPP) - Limit - LL, value: [!HMI_COM_OPC/OS_OUT/PT122_Y]</t>
  </si>
  <si>
    <t>HMI_COM_OPC/Alarms/PT122_ALL</t>
  </si>
  <si>
    <t>PT123_YF</t>
  </si>
  <si>
    <t>PT123 - Pressure increasing pump (PIP) - Pressuretransmitter - Fault</t>
  </si>
  <si>
    <t>HMI_COM_OPC/Alarms/PT123_YF</t>
  </si>
  <si>
    <t>PT123_AHH</t>
  </si>
  <si>
    <t>PT123 - Pressure increasing pump (PIP) - Limit - HH, value: [!HMI_COM_OPC/OS_OUT/PT123_Y]</t>
  </si>
  <si>
    <t>Enabled state matches PT122.</t>
  </si>
  <si>
    <t>HMI_COM_OPC/Alarms/PT123_AHH</t>
  </si>
  <si>
    <t>PT123_WH</t>
  </si>
  <si>
    <t>PT123 - Pressure increasing pump (PIP) - Warning - H, value: [!HMI_COM_OPC/OS_OUT/PT123_Y]</t>
  </si>
  <si>
    <t>HMI_COM_OPC/Alarms/PT123_WH</t>
  </si>
  <si>
    <t>PT123_WL</t>
  </si>
  <si>
    <t>PT123 - Pressure increasing pump (PIP) - Warning - L, value: [!HMI_COM_OPC/OS_OUT/PT123_Y]</t>
  </si>
  <si>
    <t>HMI_COM_OPC/Alarms/PT123_WL</t>
  </si>
  <si>
    <t>PT123_ALL</t>
  </si>
  <si>
    <t>PT123 - Pressure increasing pump (PIP) - Limit - LL, value: [!HMI_COM_OPC/OS_OUT/PT123_Y]</t>
  </si>
  <si>
    <t>HMI_COM_OPC/Alarms/PT123_ALL</t>
  </si>
  <si>
    <t>PT191_YF</t>
  </si>
  <si>
    <t>PT191 - Inlet tank - Pressuretransmitter - Fault</t>
  </si>
  <si>
    <t>HMI_COM_OPC/Alarms/PT191_YF</t>
  </si>
  <si>
    <t>PT191_AHH</t>
  </si>
  <si>
    <t>PT191 - Inlet tank - Limit - HH, value: [!HMI_COM_OPC/OS_OUT/PT191_Y]</t>
  </si>
  <si>
    <t>Disabled: only PT191_YF is enabled.</t>
  </si>
  <si>
    <t>HMI_COM_OPC/Alarms/PT191_AHH</t>
  </si>
  <si>
    <t>PT191_WH</t>
  </si>
  <si>
    <t>PT191 - Inlet tank - Limit - WH, value: [!HMI_COM_OPC/OS_OUT/PT191_Y]</t>
  </si>
  <si>
    <t>HMI_COM_OPC/Alarms/PT191_WH</t>
  </si>
  <si>
    <t>PT191_WL</t>
  </si>
  <si>
    <t>PT191 - Inlet tank - Warning - L, value: [!HMI_COM_OPC/OS_OUT/PT191_Y]</t>
  </si>
  <si>
    <t>HMI_COM_OPC/Alarms/PT191_WL</t>
  </si>
  <si>
    <t>PT191_ALL</t>
  </si>
  <si>
    <t>PT191 - Inlet tank - Limit - LL, value: [!HMI_COM_OPC/OS_OUT/PT191_Y]</t>
  </si>
  <si>
    <t>HMI_COM_OPC/Alarms/PT191_ALL</t>
  </si>
  <si>
    <t>VFD111_F_Y</t>
  </si>
  <si>
    <t>P111 - Inlet / hybrid pump - VFD fault</t>
  </si>
  <si>
    <t>Disabled: represented through the SBE alarm.</t>
  </si>
  <si>
    <t>HMI_COM_OPC/Alarms/VFD111_F_Y</t>
  </si>
  <si>
    <t>VFD121_F_Y</t>
  </si>
  <si>
    <t>P121 - High pressure pump (HPP) - VFD</t>
  </si>
  <si>
    <t>HMI_COM_OPC/Alarms/VFD121_F_Y</t>
  </si>
  <si>
    <t>VFD122_F_Y</t>
  </si>
  <si>
    <t>P122 - Pressure increasing pump (PIP) - VFD fault</t>
  </si>
  <si>
    <t>HMI_COM_OPC/Alarms/VFD122_F_Y</t>
  </si>
  <si>
    <t>VFD101_F_Y</t>
  </si>
  <si>
    <t>M101 - Drum filter - VFD</t>
  </si>
  <si>
    <t>HMI_COM_OPC/Alarms/VFD101_F_Y</t>
  </si>
  <si>
    <t>KC151_F_Y</t>
  </si>
  <si>
    <t>KC151 - Compressor fault</t>
  </si>
  <si>
    <t>HMI_COM_OPC/Alarms/KC151_F_Y</t>
  </si>
  <si>
    <t>Q102_Y</t>
  </si>
  <si>
    <t>Q102 - Tripped fuse - Compressor</t>
  </si>
  <si>
    <t>HMI_COM_OPC/Alarms/Q102_Y</t>
  </si>
  <si>
    <t>Q103_Y</t>
  </si>
  <si>
    <t>Q103 - Tripped fuse - Water heater</t>
  </si>
  <si>
    <t>HMI_COM_OPC/Alarms/Q103_Y</t>
  </si>
  <si>
    <t>ESR001_Y</t>
  </si>
  <si>
    <t>ESR001 - EM-stop activated</t>
  </si>
  <si>
    <t>HMI_COM_OPC/Alarms/ESR001_Y</t>
  </si>
  <si>
    <t>ECB101_Y</t>
  </si>
  <si>
    <t>ECB101 - Tripped DC fuse - Electronic circuit breaker</t>
  </si>
  <si>
    <t>HMI_COM_OPC/Alarms/ECB101_Y</t>
  </si>
  <si>
    <t>M1_DrumMotor_OA_YFI</t>
  </si>
  <si>
    <t>M101 - Drum motor - Output function Fault - Fault code</t>
  </si>
  <si>
    <t>INT</t>
  </si>
  <si>
    <t>Diagnostic companion to M1_DrumMotor_OA_YF. Fault code; no independent alarm trigger.</t>
  </si>
  <si>
    <t>n.a.</t>
  </si>
  <si>
    <t>HMI_COM_OPC/Alarms/M1_DrumMotor_OA_YFI</t>
  </si>
  <si>
    <t>M1_DrumMotor_OA_YFS</t>
  </si>
  <si>
    <t>M101 - Drum motor - Output function Fault - Fault description</t>
  </si>
  <si>
    <t>STRING</t>
  </si>
  <si>
    <t>Diagnostic companion to M1_DrumMotor_OA_YF. Text captured in the parent alarm message.</t>
  </si>
  <si>
    <t>HMI_COM_OPC/Alarms/M1_DrumMotor_OA_YFS</t>
  </si>
  <si>
    <t>M1_DrumMotor_SBE_YFI</t>
  </si>
  <si>
    <t>M101 - Drum motor - SBE Fault - Fault code</t>
  </si>
  <si>
    <t>Diagnostic companion to M1_DrumMotor_SBE_YF. Fault code; no independent alarm trigger.</t>
  </si>
  <si>
    <t>HMI_COM_OPC/Alarms/M1_DrumMotor_SBE_YFI</t>
  </si>
  <si>
    <t>M1_DrumMotor_SBE_YFS</t>
  </si>
  <si>
    <t>M101 - Drum motor - SBE Fault - Fault description</t>
  </si>
  <si>
    <t>Diagnostic companion to M1_DrumMotor_SBE_YF. Text captured in the parent alarm message.</t>
  </si>
  <si>
    <t>HMI_COM_OPC/Alarms/M1_DrumMotor_SBE_YFS</t>
  </si>
  <si>
    <t>M1_HighPressurePump_OA_YFI</t>
  </si>
  <si>
    <t>P121 - High pressure pump (HPP) - Output function Fault - Fault code</t>
  </si>
  <si>
    <t>Diagnostic companion to M1_HighPressurePump_OA_YF. Fault code; no independent alarm trigger.</t>
  </si>
  <si>
    <t>HMI_COM_OPC/Alarms/M1_HighPressurePump_OA_YFI</t>
  </si>
  <si>
    <t>M1_HighPressurePump_OA_YFS</t>
  </si>
  <si>
    <t>P121 - High pressure pump (HPP) - Output function Fault - Fault description</t>
  </si>
  <si>
    <t>Diagnostic companion to M1_HighPressurePump_OA_YF. Text captured in the parent alarm message.</t>
  </si>
  <si>
    <t>HMI_COM_OPC/Alarms/M1_HighPressurePump_OA_YFS</t>
  </si>
  <si>
    <t>M1_HighPressurePump_SBE_YFI</t>
  </si>
  <si>
    <t>P121 - High pressure pump (HPP) - SBE Fault - Fault code</t>
  </si>
  <si>
    <t>Diagnostic companion to M1_HighPressurePump_SBE_YF. Fault code; no independent alarm trigger.</t>
  </si>
  <si>
    <t>HMI_COM_OPC/Alarms/M1_HighPressurePump_SBE_YFI</t>
  </si>
  <si>
    <t>M1_HighPressurePump_SBE_YFS</t>
  </si>
  <si>
    <t>P121 - High pressure pump (HPP) - SBE Fault - Fault description</t>
  </si>
  <si>
    <t>Diagnostic companion to M1_HighPressurePump_SBE_YF. Text captured in the parent alarm message.</t>
  </si>
  <si>
    <t>HMI_COM_OPC/Alarms/M1_HighPressurePump_SBE_YFS</t>
  </si>
  <si>
    <t>M1_HybridPump_OA_YFI</t>
  </si>
  <si>
    <t>P111 - Inlet / hybrid pump - Output function Fault - Fault code</t>
  </si>
  <si>
    <t>Diagnostic companion to M1_HybridPump_OA_YF. Fault code; no independent alarm trigger.</t>
  </si>
  <si>
    <t>HMI_COM_OPC/Alarms/M1_HybridPump_OA_YFI</t>
  </si>
  <si>
    <t>M1_HybridPump_OA_YFS</t>
  </si>
  <si>
    <t>P111 - Inlet / hybrid pump - Output function Fault - Fault description</t>
  </si>
  <si>
    <t>Diagnostic companion to M1_HybridPump_OA_YF. Text captured in the parent alarm message.</t>
  </si>
  <si>
    <t>HMI_COM_OPC/Alarms/M1_HybridPump_OA_YFS</t>
  </si>
  <si>
    <t>M1_HybridPump_OutletValve_FaultStatus</t>
  </si>
  <si>
    <t>POV111 - Hybrid pump - Outlet valve fault - Fault description</t>
  </si>
  <si>
    <t>STRING(40)</t>
  </si>
  <si>
    <t>Diagnostic companion to M1_HybridPump_OutletValve_Fault. Text captured in the parent alarm message.</t>
  </si>
  <si>
    <t>HMI_COM_OPC/Alarms/M1_HybridPump_OutletValve_FaultStatus</t>
  </si>
  <si>
    <t>M1_HybridPump_SBE_YFI</t>
  </si>
  <si>
    <t>P111 - Inlet / hybrid pump - SBE Fault - Fault code</t>
  </si>
  <si>
    <t>Diagnostic companion to M1_HybridPump_SBE_YF. Fault code; no independent alarm trigger.</t>
  </si>
  <si>
    <t>HMI_COM_OPC/Alarms/M1_HybridPump_SBE_YFI</t>
  </si>
  <si>
    <t>M1_HybridPump_SBE_YFS</t>
  </si>
  <si>
    <t>P111 - Inlet / hybrid pump - SBE Fault - Fault description</t>
  </si>
  <si>
    <t>Diagnostic companion to M1_HybridPump_SBE_YF. Text captured in the parent alarm message.</t>
  </si>
  <si>
    <t>HMI_COM_OPC/Alarms/M1_HybridPump_SBE_YFS</t>
  </si>
  <si>
    <t>M1_PressureIncreasingPump_OA_YFI</t>
  </si>
  <si>
    <t>P122 - Pressure increasing pump (PIP) - Output function Fault - Fault code</t>
  </si>
  <si>
    <t>Diagnostic companion to M1_PressureIncreasingPump_OA_YF. Fault code; no independent alarm trigger.</t>
  </si>
  <si>
    <t>HMI_COM_OPC/Alarms/M1_PressureIncreasingPump_OA_YFI</t>
  </si>
  <si>
    <t>M1_PressureIncreasingPump_OA_YFS</t>
  </si>
  <si>
    <t>P122 - Pressure increasing pump (PIP) - Output function Fault - Fault description</t>
  </si>
  <si>
    <t>Diagnostic companion to M1_PressureIncreasingPump_OA_YF. Text captured in the parent alarm message.</t>
  </si>
  <si>
    <t>HMI_COM_OPC/Alarms/M1_PressureIncreasingPump_OA_YFS</t>
  </si>
  <si>
    <t>M1_PressureIncreasingPump_SBE_YFI</t>
  </si>
  <si>
    <t>P122 - Pressure increasing pump (PIP) - SBE Fault - Fault code</t>
  </si>
  <si>
    <t>Diagnostic companion to M1_PressureIncreasingPump_SBE_YF. Fault code; no independent alarm trigger.</t>
  </si>
  <si>
    <t>HMI_COM_OPC/Alarms/M1_PressureIncreasingPump_SBE_YFI</t>
  </si>
  <si>
    <t>M1_PressureIncreasingPump_SBE_YFS</t>
  </si>
  <si>
    <t>P122 - Pressure increasing pump (PIP) - SBE Fault - Fault description</t>
  </si>
  <si>
    <t>Diagnostic companion to M1_PressureIncreasingPump_SBE_YF. Text captured in the parent alarm message.</t>
  </si>
  <si>
    <t>HMI_COM_OPC/Alarms/M1_PressureIncreasingPump_SBE_YFS</t>
  </si>
  <si>
    <t>M1_WaterFlushingSM_ColdValve_FaultStatus</t>
  </si>
  <si>
    <t>POV121 - Water flushing - Cold Valve - Fault description</t>
  </si>
  <si>
    <t>Diagnostic companion to M1_WaterFlushingSM_ColdValve_Fault. Text captured in the parent alarm message.</t>
  </si>
  <si>
    <t>HMI_COM_OPC/Alarms/M1_WaterFlushingSM_ColdValve_FaultStatus</t>
  </si>
  <si>
    <t>M1_WaterFlushingSM_PumpSelectionValve_FaultStatus</t>
  </si>
  <si>
    <t>POV123 - Water flushing - Pump selection valve fault - Fault description</t>
  </si>
  <si>
    <t>Diagnostic companion to M1_WaterFlushingSM_PumpSelectionValve_Fault. Text captured in the parent alarm message.</t>
  </si>
  <si>
    <t>HMI_COM_OPC/Alarms/M1_WaterFlushingSM_PumpSelectionValve_FaultStatus</t>
  </si>
  <si>
    <t>M1_WaterFlushingSM_WarmValve_FaultStatus</t>
  </si>
  <si>
    <t>POV122 - Water flushing - Warm Valve - Fault description</t>
  </si>
  <si>
    <t>Diagnostic companion to M1_WaterFlushingSM_WarmValve_Fault. Text captured in the parent alarm message.</t>
  </si>
  <si>
    <t>HMI_COM_OPC/Alarms/M1_WaterFlushingSM_WarmValve_FaultStatus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</si>
</sst>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71C19"/>
      <name val="Arial"/>
    </font>
    <font>
      <b/>
      <sz val="18"/>
      <color rgb="FF202B27"/>
      <name val="Arial"/>
    </font>
    <font>
      <sz val="10"/>
      <color rgb="FF727D77"/>
      <name val="Arial"/>
    </font>
    <font>
      <b/>
      <sz val="10"/>
      <color rgb="FFFFFFFF"/>
      <name val="Arial"/>
    </font>
    <font>
      <b/>
      <sz val="22"/>
      <color rgb="FF202B27"/>
      <name val="Arial"/>
    </font>
    <font>
      <b/>
      <sz val="10"/>
      <color rgb="FF171C19"/>
      <name val="Arial"/>
    </font>
    <font>
      <sz val="9"/>
      <color rgb="FF727D77"/>
      <name val="Arial"/>
    </font>
  </fonts>
  <fills count="7">
    <fill>
      <patternFill patternType="none"/>
    </fill>
    <fill>
      <patternFill patternType="gray125"/>
    </fill>
    <fill>
      <patternFill patternType="solid">
        <fgColor rgb="FF00E600"/>
      </patternFill>
    </fill>
    <fill>
      <patternFill patternType="solid">
        <fgColor rgb="FF202B27"/>
      </patternFill>
    </fill>
    <fill>
      <patternFill patternType="solid">
        <fgColor rgb="FFF2F5F3"/>
      </patternFill>
    </fill>
    <fill>
      <patternFill patternType="solid">
        <fgColor rgb="FFFFFFFF"/>
      </patternFill>
    </fill>
    <fill>
      <patternFill patternType="solid">
        <fgColor rgb="FFE5F9E8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4" borderId="0" xfId="0" applyFont="1" applyFill="1" applyAlignment="1">
      <alignment vertical="top"/>
    </xf>
    <xf numFmtId="0" fontId="1" fillId="6" borderId="0" xfId="0" applyFont="1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right" vertical="center" indent="1"/>
    </xf>
  </cellXfs>
  <cellStyles count="1">
    <cellStyle name="Normal" xfId="0" builtinId="0"/>
  </cellStyles>
  <dxfs count="1">
    <dxf>
      <font>
        <color rgb="FF727D77"/>
      </font>
      <fill>
        <patternFill>
          <bgColor rgb="FFECEF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quaRigAlarms" displayName="AquaRigAlarms" ref="A9:I118" totalsRowShown="0">
  <autoFilter ref="A9:I118" xr:uid="{00000000-0009-0000-0100-000001000000}"/>
  <tableColumns count="9">
    <tableColumn id="1" xr3:uid="{00000000-0010-0000-0000-000001000000}" name="Tag"/>
    <tableColumn id="2" xr3:uid="{00000000-0010-0000-0000-000002000000}" name="Notify"/>
    <tableColumn id="3" xr3:uid="{00000000-0010-0000-0000-000003000000}" name="Type"/>
    <tableColumn id="4" xr3:uid="{00000000-0010-0000-0000-000004000000}" name="Description"/>
    <tableColumn id="5" xr3:uid="{00000000-0010-0000-0000-000005000000}" name="Routing status"/>
    <tableColumn id="6" xr3:uid="{00000000-0010-0000-0000-000006000000}" name="OPC UA type"/>
    <tableColumn id="7" xr3:uid="{00000000-0010-0000-0000-000007000000}" name="Notes / action"/>
    <tableColumn id="8" xr3:uid="{00000000-0010-0000-0000-000008000000}" name="HMI Enabled"/>
    <tableColumn id="9" xr3:uid="{00000000-0010-0000-0000-000009000000}" name="HMI sourc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2B27"/>
  </sheetPr>
  <dimension ref="A1:H37"/>
  <sheetViews>
    <sheetView showGridLines="0" topLeftCell="A19" workbookViewId="0">
      <selection activeCell="M10" sqref="M10"/>
    </sheetView>
  </sheetViews>
  <sheetFormatPr defaultRowHeight="14.25"/>
  <cols>
    <col min="1" max="8" width="16" customWidth="1"/>
  </cols>
  <sheetData>
    <row r="1" spans="1:8" ht="12" customHeight="1">
      <c r="A1" s="1"/>
      <c r="B1" s="1"/>
      <c r="C1" s="1"/>
      <c r="D1" s="1"/>
      <c r="E1" s="1"/>
      <c r="F1" s="1"/>
      <c r="G1" s="1"/>
      <c r="H1" s="1"/>
    </row>
    <row r="2" spans="1:8" ht="36" customHeight="1">
      <c r="A2" s="13" t="s">
        <v>0</v>
      </c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</row>
    <row r="3" spans="1:8" ht="24" customHeight="1">
      <c r="A3" s="14" t="s">
        <v>1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</row>
    <row r="4" spans="1:8" ht="5.0999999999999996" customHeight="1">
      <c r="A4" s="2"/>
      <c r="B4" s="2"/>
      <c r="C4" s="2"/>
      <c r="D4" s="2"/>
      <c r="E4" s="2"/>
      <c r="F4" s="2"/>
      <c r="G4" s="2"/>
      <c r="H4" s="2"/>
    </row>
    <row r="5" spans="1:8" ht="27" customHeight="1">
      <c r="A5" s="1"/>
      <c r="B5" s="1"/>
      <c r="C5" s="1"/>
      <c r="D5" s="1"/>
      <c r="E5" s="1"/>
      <c r="F5" s="1"/>
      <c r="G5" s="1"/>
      <c r="H5" s="1"/>
    </row>
    <row r="6" spans="1:8" ht="27" customHeight="1">
      <c r="A6" s="15" t="s">
        <v>2</v>
      </c>
      <c r="B6" s="15" t="s">
        <v>2</v>
      </c>
      <c r="C6" s="15" t="s">
        <v>3</v>
      </c>
      <c r="D6" s="15" t="s">
        <v>3</v>
      </c>
      <c r="E6" s="15" t="s">
        <v>4</v>
      </c>
      <c r="F6" s="15" t="s">
        <v>4</v>
      </c>
      <c r="G6" s="15" t="s">
        <v>5</v>
      </c>
      <c r="H6" s="15" t="s">
        <v>5</v>
      </c>
    </row>
    <row r="7" spans="1:8" ht="21.95" customHeight="1">
      <c r="A7" s="16">
        <f>COUNTA('Alarm list'!A10:A118)</f>
        <v>109</v>
      </c>
      <c r="B7" s="16"/>
      <c r="C7" s="17">
        <f>SUMPRODUCT(--('Alarm list'!B10:B118=TRUE))</f>
        <v>44</v>
      </c>
      <c r="D7" s="17"/>
      <c r="E7" s="16">
        <f>COUNTA('Alarm list'!B10:B118)-C7</f>
        <v>65</v>
      </c>
      <c r="F7" s="16"/>
      <c r="G7" s="16">
        <f>SUMPRODUCT(--('Alarm list'!H10:H118=TRUE))</f>
        <v>44</v>
      </c>
      <c r="H7" s="16"/>
    </row>
    <row r="8" spans="1:8" ht="21.95" customHeight="1">
      <c r="A8" s="16"/>
      <c r="B8" s="16"/>
      <c r="C8" s="17"/>
      <c r="D8" s="17"/>
      <c r="E8" s="16"/>
      <c r="F8" s="16"/>
      <c r="G8" s="16"/>
      <c r="H8" s="16"/>
    </row>
    <row r="9" spans="1:8" ht="27" customHeight="1">
      <c r="A9" s="1"/>
      <c r="B9" s="1"/>
      <c r="C9" s="1"/>
      <c r="D9" s="1"/>
      <c r="E9" s="1"/>
      <c r="F9" s="1"/>
      <c r="G9" s="1"/>
      <c r="H9" s="1"/>
    </row>
    <row r="10" spans="1:8" ht="27.95" customHeight="1">
      <c r="A10" s="15" t="s">
        <v>6</v>
      </c>
      <c r="B10" s="15" t="s">
        <v>6</v>
      </c>
      <c r="C10" s="15" t="s">
        <v>6</v>
      </c>
      <c r="D10" s="15" t="s">
        <v>6</v>
      </c>
      <c r="E10" s="15" t="s">
        <v>6</v>
      </c>
      <c r="F10" s="15" t="s">
        <v>6</v>
      </c>
      <c r="G10" s="15" t="s">
        <v>6</v>
      </c>
      <c r="H10" s="15" t="s">
        <v>6</v>
      </c>
    </row>
    <row r="11" spans="1:8" ht="42" customHeight="1">
      <c r="A11" s="18" t="s">
        <v>7</v>
      </c>
      <c r="B11" s="18" t="s">
        <v>7</v>
      </c>
      <c r="C11" s="19" t="s">
        <v>8</v>
      </c>
      <c r="D11" s="19" t="s">
        <v>8</v>
      </c>
      <c r="E11" s="19" t="s">
        <v>8</v>
      </c>
      <c r="F11" s="19" t="s">
        <v>8</v>
      </c>
      <c r="G11" s="19" t="s">
        <v>8</v>
      </c>
      <c r="H11" s="19" t="s">
        <v>8</v>
      </c>
    </row>
    <row r="12" spans="1:8" ht="42" customHeight="1">
      <c r="A12" s="18" t="s">
        <v>9</v>
      </c>
      <c r="B12" s="18" t="s">
        <v>9</v>
      </c>
      <c r="C12" s="19" t="s">
        <v>10</v>
      </c>
      <c r="D12" s="19" t="s">
        <v>10</v>
      </c>
      <c r="E12" s="19" t="s">
        <v>10</v>
      </c>
      <c r="F12" s="19" t="s">
        <v>10</v>
      </c>
      <c r="G12" s="19" t="s">
        <v>10</v>
      </c>
      <c r="H12" s="19" t="s">
        <v>10</v>
      </c>
    </row>
    <row r="13" spans="1:8" ht="42" customHeight="1">
      <c r="A13" s="18" t="s">
        <v>11</v>
      </c>
      <c r="B13" s="18" t="s">
        <v>11</v>
      </c>
      <c r="C13" s="19" t="s">
        <v>12</v>
      </c>
      <c r="D13" s="19" t="s">
        <v>12</v>
      </c>
      <c r="E13" s="19" t="s">
        <v>12</v>
      </c>
      <c r="F13" s="19" t="s">
        <v>12</v>
      </c>
      <c r="G13" s="19" t="s">
        <v>12</v>
      </c>
      <c r="H13" s="19" t="s">
        <v>12</v>
      </c>
    </row>
    <row r="14" spans="1:8" ht="42" customHeight="1">
      <c r="A14" s="18" t="s">
        <v>13</v>
      </c>
      <c r="B14" s="18" t="s">
        <v>13</v>
      </c>
      <c r="C14" s="19" t="s">
        <v>14</v>
      </c>
      <c r="D14" s="19" t="s">
        <v>14</v>
      </c>
      <c r="E14" s="19" t="s">
        <v>14</v>
      </c>
      <c r="F14" s="19" t="s">
        <v>14</v>
      </c>
      <c r="G14" s="19" t="s">
        <v>14</v>
      </c>
      <c r="H14" s="19" t="s">
        <v>14</v>
      </c>
    </row>
    <row r="15" spans="1:8" ht="42" customHeight="1">
      <c r="A15" s="18" t="s">
        <v>15</v>
      </c>
      <c r="B15" s="18" t="s">
        <v>15</v>
      </c>
      <c r="C15" s="19" t="s">
        <v>16</v>
      </c>
      <c r="D15" s="19" t="s">
        <v>16</v>
      </c>
      <c r="E15" s="19" t="s">
        <v>16</v>
      </c>
      <c r="F15" s="19" t="s">
        <v>16</v>
      </c>
      <c r="G15" s="19" t="s">
        <v>16</v>
      </c>
      <c r="H15" s="19" t="s">
        <v>16</v>
      </c>
    </row>
    <row r="16" spans="1:8" ht="42" customHeight="1">
      <c r="A16" s="18" t="s">
        <v>17</v>
      </c>
      <c r="B16" s="18" t="s">
        <v>17</v>
      </c>
      <c r="C16" s="19" t="s">
        <v>18</v>
      </c>
      <c r="D16" s="19" t="s">
        <v>18</v>
      </c>
      <c r="E16" s="19" t="s">
        <v>18</v>
      </c>
      <c r="F16" s="19" t="s">
        <v>18</v>
      </c>
      <c r="G16" s="19" t="s">
        <v>18</v>
      </c>
      <c r="H16" s="19" t="s">
        <v>18</v>
      </c>
    </row>
    <row r="17" spans="1:8" ht="42" customHeight="1">
      <c r="A17" s="18" t="s">
        <v>19</v>
      </c>
      <c r="B17" s="18" t="s">
        <v>19</v>
      </c>
      <c r="C17" s="19" t="s">
        <v>20</v>
      </c>
      <c r="D17" s="19" t="s">
        <v>20</v>
      </c>
      <c r="E17" s="19" t="s">
        <v>20</v>
      </c>
      <c r="F17" s="19" t="s">
        <v>20</v>
      </c>
      <c r="G17" s="19" t="s">
        <v>20</v>
      </c>
      <c r="H17" s="19" t="s">
        <v>20</v>
      </c>
    </row>
    <row r="18" spans="1:8" ht="27" customHeight="1">
      <c r="A18" s="1"/>
      <c r="B18" s="1"/>
      <c r="C18" s="1"/>
      <c r="D18" s="1"/>
      <c r="E18" s="1"/>
      <c r="F18" s="1"/>
      <c r="G18" s="1"/>
      <c r="H18" s="1"/>
    </row>
    <row r="19" spans="1:8" ht="27.95" customHeight="1">
      <c r="A19" s="15" t="s">
        <v>21</v>
      </c>
      <c r="B19" s="15" t="s">
        <v>21</v>
      </c>
      <c r="C19" s="15" t="s">
        <v>21</v>
      </c>
      <c r="D19" s="15" t="s">
        <v>21</v>
      </c>
      <c r="E19" s="15" t="s">
        <v>21</v>
      </c>
      <c r="F19" s="15" t="s">
        <v>21</v>
      </c>
      <c r="G19" s="15" t="s">
        <v>21</v>
      </c>
      <c r="H19" s="15" t="s">
        <v>21</v>
      </c>
    </row>
    <row r="20" spans="1:8" ht="38.1" customHeight="1">
      <c r="A20" s="18" t="s">
        <v>22</v>
      </c>
      <c r="B20" s="18" t="s">
        <v>22</v>
      </c>
      <c r="C20" s="19" t="s">
        <v>23</v>
      </c>
      <c r="D20" s="19" t="s">
        <v>23</v>
      </c>
      <c r="E20" s="19" t="s">
        <v>23</v>
      </c>
      <c r="F20" s="19" t="s">
        <v>23</v>
      </c>
      <c r="G20" s="19" t="s">
        <v>23</v>
      </c>
      <c r="H20" s="19" t="s">
        <v>23</v>
      </c>
    </row>
    <row r="21" spans="1:8" ht="38.1" customHeight="1">
      <c r="A21" s="18" t="s">
        <v>24</v>
      </c>
      <c r="B21" s="18" t="s">
        <v>24</v>
      </c>
      <c r="C21" s="19" t="s">
        <v>25</v>
      </c>
      <c r="D21" s="19" t="s">
        <v>25</v>
      </c>
      <c r="E21" s="19" t="s">
        <v>25</v>
      </c>
      <c r="F21" s="19" t="s">
        <v>25</v>
      </c>
      <c r="G21" s="19" t="s">
        <v>25</v>
      </c>
      <c r="H21" s="19" t="s">
        <v>25</v>
      </c>
    </row>
    <row r="22" spans="1:8" ht="38.1" customHeight="1">
      <c r="A22" s="18" t="s">
        <v>26</v>
      </c>
      <c r="B22" s="18" t="s">
        <v>26</v>
      </c>
      <c r="C22" s="19" t="s">
        <v>27</v>
      </c>
      <c r="D22" s="19" t="s">
        <v>27</v>
      </c>
      <c r="E22" s="19" t="s">
        <v>27</v>
      </c>
      <c r="F22" s="19" t="s">
        <v>27</v>
      </c>
      <c r="G22" s="19" t="s">
        <v>27</v>
      </c>
      <c r="H22" s="19" t="s">
        <v>27</v>
      </c>
    </row>
    <row r="23" spans="1:8" ht="38.1" customHeight="1">
      <c r="A23" s="18" t="s">
        <v>28</v>
      </c>
      <c r="B23" s="18" t="s">
        <v>28</v>
      </c>
      <c r="C23" s="19" t="s">
        <v>29</v>
      </c>
      <c r="D23" s="19" t="s">
        <v>29</v>
      </c>
      <c r="E23" s="19" t="s">
        <v>29</v>
      </c>
      <c r="F23" s="19" t="s">
        <v>29</v>
      </c>
      <c r="G23" s="19" t="s">
        <v>29</v>
      </c>
      <c r="H23" s="19" t="s">
        <v>29</v>
      </c>
    </row>
    <row r="24" spans="1:8" ht="38.1" customHeight="1">
      <c r="A24" s="18" t="s">
        <v>30</v>
      </c>
      <c r="B24" s="18" t="s">
        <v>30</v>
      </c>
      <c r="C24" s="19" t="s">
        <v>31</v>
      </c>
      <c r="D24" s="19" t="s">
        <v>31</v>
      </c>
      <c r="E24" s="19" t="s">
        <v>31</v>
      </c>
      <c r="F24" s="19" t="s">
        <v>31</v>
      </c>
      <c r="G24" s="19" t="s">
        <v>31</v>
      </c>
      <c r="H24" s="19" t="s">
        <v>31</v>
      </c>
    </row>
    <row r="25" spans="1:8" ht="27" customHeight="1">
      <c r="A25" s="1"/>
      <c r="B25" s="1"/>
      <c r="C25" s="1"/>
      <c r="D25" s="1"/>
      <c r="E25" s="1"/>
      <c r="F25" s="1"/>
      <c r="G25" s="1"/>
      <c r="H25" s="1"/>
    </row>
    <row r="26" spans="1:8" ht="27.95" customHeight="1">
      <c r="A26" s="15" t="s">
        <v>32</v>
      </c>
      <c r="B26" s="15" t="s">
        <v>32</v>
      </c>
      <c r="C26" s="15" t="s">
        <v>32</v>
      </c>
      <c r="D26" s="15" t="s">
        <v>32</v>
      </c>
      <c r="E26" s="15" t="s">
        <v>32</v>
      </c>
      <c r="F26" s="15" t="s">
        <v>32</v>
      </c>
      <c r="G26" s="15" t="s">
        <v>32</v>
      </c>
      <c r="H26" s="15" t="s">
        <v>32</v>
      </c>
    </row>
    <row r="27" spans="1:8" ht="32.1" customHeight="1">
      <c r="A27" s="20" t="s">
        <v>33</v>
      </c>
      <c r="B27" s="20" t="s">
        <v>33</v>
      </c>
      <c r="C27" s="20" t="s">
        <v>33</v>
      </c>
      <c r="D27" s="20" t="s">
        <v>33</v>
      </c>
      <c r="E27" s="20" t="s">
        <v>33</v>
      </c>
      <c r="F27" s="20" t="s">
        <v>33</v>
      </c>
      <c r="G27" s="20" t="s">
        <v>33</v>
      </c>
      <c r="H27" s="20" t="s">
        <v>33</v>
      </c>
    </row>
    <row r="28" spans="1:8" ht="32.1" customHeight="1">
      <c r="A28" s="21" t="s">
        <v>34</v>
      </c>
      <c r="B28" s="21" t="s">
        <v>34</v>
      </c>
      <c r="C28" s="21" t="s">
        <v>34</v>
      </c>
      <c r="D28" s="21" t="s">
        <v>34</v>
      </c>
      <c r="E28" s="21" t="s">
        <v>34</v>
      </c>
      <c r="F28" s="21" t="s">
        <v>34</v>
      </c>
      <c r="G28" s="21" t="s">
        <v>34</v>
      </c>
      <c r="H28" s="21" t="s">
        <v>34</v>
      </c>
    </row>
    <row r="29" spans="1:8" ht="32.1" customHeight="1">
      <c r="A29" s="20" t="s">
        <v>35</v>
      </c>
      <c r="B29" s="20" t="s">
        <v>35</v>
      </c>
      <c r="C29" s="20" t="s">
        <v>35</v>
      </c>
      <c r="D29" s="20" t="s">
        <v>35</v>
      </c>
      <c r="E29" s="20" t="s">
        <v>35</v>
      </c>
      <c r="F29" s="20" t="s">
        <v>35</v>
      </c>
      <c r="G29" s="20" t="s">
        <v>35</v>
      </c>
      <c r="H29" s="20" t="s">
        <v>35</v>
      </c>
    </row>
    <row r="30" spans="1:8" ht="32.1" customHeight="1">
      <c r="A30" s="21" t="s">
        <v>36</v>
      </c>
      <c r="B30" s="21" t="s">
        <v>36</v>
      </c>
      <c r="C30" s="21" t="s">
        <v>36</v>
      </c>
      <c r="D30" s="21" t="s">
        <v>36</v>
      </c>
      <c r="E30" s="21" t="s">
        <v>36</v>
      </c>
      <c r="F30" s="21" t="s">
        <v>36</v>
      </c>
      <c r="G30" s="21" t="s">
        <v>36</v>
      </c>
      <c r="H30" s="21" t="s">
        <v>36</v>
      </c>
    </row>
    <row r="31" spans="1:8" ht="27" customHeight="1">
      <c r="A31" s="1"/>
      <c r="B31" s="1"/>
      <c r="C31" s="1"/>
      <c r="D31" s="1"/>
      <c r="E31" s="1"/>
      <c r="F31" s="1"/>
      <c r="G31" s="1"/>
      <c r="H31" s="1"/>
    </row>
    <row r="32" spans="1:8" ht="27.95" customHeight="1">
      <c r="A32" s="15" t="s">
        <v>37</v>
      </c>
      <c r="B32" s="15" t="s">
        <v>37</v>
      </c>
      <c r="C32" s="15" t="s">
        <v>37</v>
      </c>
      <c r="D32" s="15" t="s">
        <v>37</v>
      </c>
      <c r="E32" s="15" t="s">
        <v>37</v>
      </c>
      <c r="F32" s="15" t="s">
        <v>37</v>
      </c>
      <c r="G32" s="15" t="s">
        <v>37</v>
      </c>
      <c r="H32" s="15" t="s">
        <v>37</v>
      </c>
    </row>
    <row r="33" spans="1:8" ht="30" customHeight="1">
      <c r="A33" s="22" t="s">
        <v>38</v>
      </c>
      <c r="B33" s="22" t="s">
        <v>38</v>
      </c>
      <c r="C33" s="22" t="s">
        <v>38</v>
      </c>
      <c r="D33" s="22" t="s">
        <v>38</v>
      </c>
      <c r="E33" s="22" t="s">
        <v>38</v>
      </c>
      <c r="F33" s="22" t="s">
        <v>38</v>
      </c>
      <c r="G33" s="22" t="s">
        <v>38</v>
      </c>
      <c r="H33" s="22" t="s">
        <v>38</v>
      </c>
    </row>
    <row r="34" spans="1:8" ht="30" customHeight="1">
      <c r="A34" s="22" t="s">
        <v>39</v>
      </c>
      <c r="B34" s="22" t="s">
        <v>39</v>
      </c>
      <c r="C34" s="22" t="s">
        <v>39</v>
      </c>
      <c r="D34" s="22" t="s">
        <v>39</v>
      </c>
      <c r="E34" s="22" t="s">
        <v>39</v>
      </c>
      <c r="F34" s="22" t="s">
        <v>39</v>
      </c>
      <c r="G34" s="22" t="s">
        <v>39</v>
      </c>
      <c r="H34" s="22" t="s">
        <v>39</v>
      </c>
    </row>
    <row r="35" spans="1:8" ht="30" customHeight="1">
      <c r="A35" s="22" t="s">
        <v>40</v>
      </c>
      <c r="B35" s="22" t="s">
        <v>40</v>
      </c>
      <c r="C35" s="22" t="s">
        <v>40</v>
      </c>
      <c r="D35" s="22" t="s">
        <v>40</v>
      </c>
      <c r="E35" s="22" t="s">
        <v>40</v>
      </c>
      <c r="F35" s="22" t="s">
        <v>40</v>
      </c>
      <c r="G35" s="22" t="s">
        <v>40</v>
      </c>
      <c r="H35" s="22" t="s">
        <v>40</v>
      </c>
    </row>
    <row r="36" spans="1:8" ht="27" customHeight="1">
      <c r="A36" s="1"/>
      <c r="B36" s="1"/>
      <c r="C36" s="1"/>
      <c r="D36" s="1"/>
      <c r="E36" s="1"/>
      <c r="F36" s="1"/>
      <c r="G36" s="1"/>
      <c r="H36" s="1"/>
    </row>
    <row r="37" spans="1:8" ht="27" customHeight="1">
      <c r="A37" s="1"/>
      <c r="B37" s="1"/>
      <c r="C37" s="1"/>
      <c r="D37" s="1"/>
      <c r="E37" s="1"/>
      <c r="F37" s="1"/>
      <c r="G37" s="1"/>
      <c r="H37" s="1"/>
    </row>
  </sheetData>
  <mergeCells count="45">
    <mergeCell ref="A33:H33"/>
    <mergeCell ref="A34:H34"/>
    <mergeCell ref="A35:H35"/>
    <mergeCell ref="A27:H27"/>
    <mergeCell ref="A28:H28"/>
    <mergeCell ref="A29:H29"/>
    <mergeCell ref="A30:H30"/>
    <mergeCell ref="A32:H32"/>
    <mergeCell ref="A23:B23"/>
    <mergeCell ref="C23:H23"/>
    <mergeCell ref="A24:B24"/>
    <mergeCell ref="C24:H24"/>
    <mergeCell ref="A26:H26"/>
    <mergeCell ref="A20:B20"/>
    <mergeCell ref="C20:H20"/>
    <mergeCell ref="A21:B21"/>
    <mergeCell ref="C21:H21"/>
    <mergeCell ref="A22:B22"/>
    <mergeCell ref="C22:H22"/>
    <mergeCell ref="A16:B16"/>
    <mergeCell ref="C16:H16"/>
    <mergeCell ref="A17:B17"/>
    <mergeCell ref="C17:H17"/>
    <mergeCell ref="A19:H19"/>
    <mergeCell ref="A13:B13"/>
    <mergeCell ref="C13:H13"/>
    <mergeCell ref="A14:B14"/>
    <mergeCell ref="C14:H14"/>
    <mergeCell ref="A15:B15"/>
    <mergeCell ref="C15:H15"/>
    <mergeCell ref="A10:H10"/>
    <mergeCell ref="A11:B11"/>
    <mergeCell ref="C11:H11"/>
    <mergeCell ref="A12:B12"/>
    <mergeCell ref="C12:H12"/>
    <mergeCell ref="A2:H2"/>
    <mergeCell ref="A3:H3"/>
    <mergeCell ref="A6:B6"/>
    <mergeCell ref="A7:B8"/>
    <mergeCell ref="C6:D6"/>
    <mergeCell ref="C7:D8"/>
    <mergeCell ref="E6:F6"/>
    <mergeCell ref="E7:F8"/>
    <mergeCell ref="G6:H6"/>
    <mergeCell ref="G7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2B27"/>
  </sheetPr>
  <dimension ref="A1:I118"/>
  <sheetViews>
    <sheetView showGridLines="0" tabSelected="1" zoomScale="90" zoomScaleNormal="90"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48" customWidth="1"/>
    <col min="2" max="2" width="12" customWidth="1"/>
    <col min="3" max="3" width="15" bestFit="1" customWidth="1"/>
    <col min="4" max="4" width="78" customWidth="1"/>
    <col min="5" max="5" width="24" customWidth="1"/>
    <col min="6" max="6" width="15" customWidth="1"/>
    <col min="7" max="7" width="53" customWidth="1"/>
    <col min="8" max="8" width="15" customWidth="1"/>
    <col min="9" max="9" width="65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5.1" customHeight="1">
      <c r="A2" s="13" t="s">
        <v>41</v>
      </c>
      <c r="B2" s="13" t="s">
        <v>41</v>
      </c>
      <c r="C2" s="13" t="s">
        <v>41</v>
      </c>
      <c r="D2" s="13" t="s">
        <v>41</v>
      </c>
      <c r="E2" s="13" t="s">
        <v>41</v>
      </c>
      <c r="F2" s="13" t="s">
        <v>41</v>
      </c>
      <c r="G2" s="13" t="s">
        <v>41</v>
      </c>
      <c r="H2" s="13" t="s">
        <v>41</v>
      </c>
      <c r="I2" s="13" t="s">
        <v>41</v>
      </c>
    </row>
    <row r="3" spans="1:9" ht="27" customHeight="1">
      <c r="A3" s="14" t="s">
        <v>42</v>
      </c>
      <c r="B3" s="14" t="s">
        <v>42</v>
      </c>
      <c r="C3" s="14" t="s">
        <v>42</v>
      </c>
      <c r="D3" s="14" t="s">
        <v>42</v>
      </c>
      <c r="E3" s="14" t="s">
        <v>42</v>
      </c>
      <c r="F3" s="14" t="s">
        <v>42</v>
      </c>
      <c r="G3" s="14" t="s">
        <v>42</v>
      </c>
      <c r="H3" s="14" t="s">
        <v>42</v>
      </c>
      <c r="I3" s="14" t="s">
        <v>42</v>
      </c>
    </row>
    <row r="4" spans="1:9" ht="5.0999999999999996" customHeight="1">
      <c r="A4" s="2"/>
      <c r="B4" s="2"/>
      <c r="C4" s="2"/>
      <c r="D4" s="2"/>
      <c r="E4" s="2"/>
      <c r="F4" s="2"/>
      <c r="G4" s="2"/>
      <c r="H4" s="2"/>
      <c r="I4" s="2"/>
    </row>
    <row r="5" spans="1:9" ht="27" customHeight="1">
      <c r="A5" s="23" t="s">
        <v>43</v>
      </c>
      <c r="B5" s="23" t="s">
        <v>43</v>
      </c>
      <c r="C5" s="23" t="s">
        <v>43</v>
      </c>
      <c r="D5" s="23" t="s">
        <v>43</v>
      </c>
      <c r="E5" s="14" t="s">
        <v>44</v>
      </c>
      <c r="F5" s="14" t="s">
        <v>44</v>
      </c>
      <c r="G5" s="14" t="s">
        <v>44</v>
      </c>
      <c r="H5" s="14" t="s">
        <v>44</v>
      </c>
      <c r="I5" s="14" t="s">
        <v>44</v>
      </c>
    </row>
    <row r="6" spans="1:9" ht="27" customHeight="1">
      <c r="A6" s="24" t="s">
        <v>45</v>
      </c>
      <c r="B6" s="27">
        <f>COUNTA(A10:A118)</f>
        <v>109</v>
      </c>
      <c r="C6" s="26" t="s">
        <v>46</v>
      </c>
      <c r="D6" s="27" cm="1">
        <f t="array" ref="D6">SUMPRODUCT(--(B10:B118=TRUE))</f>
        <v>44</v>
      </c>
      <c r="E6" s="26" t="s">
        <v>47</v>
      </c>
      <c r="F6" s="27">
        <f>COUNTA(B10:B118)-D6</f>
        <v>65</v>
      </c>
      <c r="G6" s="26" t="s">
        <v>48</v>
      </c>
      <c r="H6" s="27">
        <f>COUNTBLANK(B10:B118)</f>
        <v>0</v>
      </c>
      <c r="I6" s="25"/>
    </row>
    <row r="7" spans="1:9" ht="27" customHeight="1">
      <c r="A7" s="1"/>
      <c r="B7" s="1"/>
      <c r="C7" s="1"/>
      <c r="D7" s="1"/>
      <c r="E7" s="1"/>
      <c r="F7" s="1"/>
      <c r="G7" s="1"/>
      <c r="H7" s="1"/>
      <c r="I7" s="1"/>
    </row>
    <row r="8" spans="1:9" ht="26.1" customHeight="1">
      <c r="A8" s="14" t="s">
        <v>49</v>
      </c>
      <c r="B8" s="14" t="s">
        <v>49</v>
      </c>
      <c r="C8" s="14" t="s">
        <v>49</v>
      </c>
      <c r="D8" s="14" t="s">
        <v>49</v>
      </c>
      <c r="E8" s="14" t="s">
        <v>49</v>
      </c>
      <c r="F8" s="14" t="s">
        <v>49</v>
      </c>
      <c r="G8" s="14" t="s">
        <v>49</v>
      </c>
      <c r="H8" s="14" t="s">
        <v>49</v>
      </c>
      <c r="I8" s="14" t="s">
        <v>49</v>
      </c>
    </row>
    <row r="9" spans="1:9" ht="30" customHeight="1">
      <c r="A9" s="3" t="s">
        <v>50</v>
      </c>
      <c r="B9" s="3" t="s">
        <v>51</v>
      </c>
      <c r="C9" s="3" t="s">
        <v>52</v>
      </c>
      <c r="D9" s="3" t="s">
        <v>17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57</v>
      </c>
    </row>
    <row r="10" spans="1:9" ht="56.1" customHeight="1">
      <c r="A10" s="7" t="s">
        <v>58</v>
      </c>
      <c r="B10" s="6" t="b">
        <v>1</v>
      </c>
      <c r="C10" s="5" t="s">
        <v>59</v>
      </c>
      <c r="D10" s="7" t="s">
        <v>60</v>
      </c>
      <c r="E10" s="5" t="str">
        <f t="shared" ref="E10:E41" si="0">IF(ISBLANK(B10),"REVIEW",IF(B10,"PROPOSED notify","PROPOSED no_notify"))</f>
        <v>PROPOSED notify</v>
      </c>
      <c r="F10" s="5" t="s">
        <v>61</v>
      </c>
      <c r="G10" s="7" t="s">
        <v>62</v>
      </c>
      <c r="H10" s="9" t="b">
        <v>1</v>
      </c>
      <c r="I10" s="7" t="s">
        <v>63</v>
      </c>
    </row>
    <row r="11" spans="1:9" ht="56.1" customHeight="1">
      <c r="A11" s="8" t="s">
        <v>64</v>
      </c>
      <c r="B11" s="6" t="b">
        <v>1</v>
      </c>
      <c r="C11" s="4" t="s">
        <v>65</v>
      </c>
      <c r="D11" s="8" t="s">
        <v>66</v>
      </c>
      <c r="E11" s="4" t="str">
        <f t="shared" si="0"/>
        <v>PROPOSED notify</v>
      </c>
      <c r="F11" s="4" t="s">
        <v>61</v>
      </c>
      <c r="G11" s="8"/>
      <c r="H11" s="10" t="b">
        <v>1</v>
      </c>
      <c r="I11" s="8" t="s">
        <v>67</v>
      </c>
    </row>
    <row r="12" spans="1:9" ht="56.1" customHeight="1">
      <c r="A12" s="7" t="s">
        <v>68</v>
      </c>
      <c r="B12" s="6" t="b">
        <v>1</v>
      </c>
      <c r="C12" s="5" t="s">
        <v>65</v>
      </c>
      <c r="D12" s="7" t="s">
        <v>69</v>
      </c>
      <c r="E12" s="5" t="str">
        <f t="shared" si="0"/>
        <v>PROPOSED notify</v>
      </c>
      <c r="F12" s="5" t="s">
        <v>61</v>
      </c>
      <c r="G12" s="7"/>
      <c r="H12" s="9" t="b">
        <v>1</v>
      </c>
      <c r="I12" s="7" t="s">
        <v>70</v>
      </c>
    </row>
    <row r="13" spans="1:9" ht="56.1" customHeight="1">
      <c r="A13" s="8" t="s">
        <v>71</v>
      </c>
      <c r="B13" s="6" t="b">
        <v>1</v>
      </c>
      <c r="C13" s="4" t="s">
        <v>65</v>
      </c>
      <c r="D13" s="8" t="s">
        <v>72</v>
      </c>
      <c r="E13" s="4" t="str">
        <f t="shared" si="0"/>
        <v>PROPOSED notify</v>
      </c>
      <c r="F13" s="4" t="s">
        <v>61</v>
      </c>
      <c r="G13" s="8"/>
      <c r="H13" s="10" t="b">
        <v>1</v>
      </c>
      <c r="I13" s="8" t="s">
        <v>73</v>
      </c>
    </row>
    <row r="14" spans="1:9" ht="56.1" customHeight="1">
      <c r="A14" s="7" t="s">
        <v>74</v>
      </c>
      <c r="B14" s="6" t="b">
        <v>1</v>
      </c>
      <c r="C14" s="5" t="s">
        <v>65</v>
      </c>
      <c r="D14" s="7" t="s">
        <v>75</v>
      </c>
      <c r="E14" s="5" t="str">
        <f t="shared" si="0"/>
        <v>PROPOSED notify</v>
      </c>
      <c r="F14" s="5" t="s">
        <v>61</v>
      </c>
      <c r="G14" s="7"/>
      <c r="H14" s="9" t="b">
        <v>1</v>
      </c>
      <c r="I14" s="7" t="s">
        <v>76</v>
      </c>
    </row>
    <row r="15" spans="1:9" ht="56.1" customHeight="1">
      <c r="A15" s="8" t="s">
        <v>77</v>
      </c>
      <c r="B15" s="6" t="b">
        <v>1</v>
      </c>
      <c r="C15" s="4" t="s">
        <v>65</v>
      </c>
      <c r="D15" s="8" t="s">
        <v>78</v>
      </c>
      <c r="E15" s="4" t="str">
        <f t="shared" si="0"/>
        <v>PROPOSED notify</v>
      </c>
      <c r="F15" s="4" t="s">
        <v>61</v>
      </c>
      <c r="G15" s="8"/>
      <c r="H15" s="10" t="b">
        <v>1</v>
      </c>
      <c r="I15" s="8" t="s">
        <v>79</v>
      </c>
    </row>
    <row r="16" spans="1:9" ht="56.1" customHeight="1">
      <c r="A16" s="7" t="s">
        <v>80</v>
      </c>
      <c r="B16" s="6" t="b">
        <v>1</v>
      </c>
      <c r="C16" s="5" t="s">
        <v>59</v>
      </c>
      <c r="D16" s="7" t="s">
        <v>81</v>
      </c>
      <c r="E16" s="5" t="str">
        <f t="shared" si="0"/>
        <v>PROPOSED notify</v>
      </c>
      <c r="F16" s="5" t="s">
        <v>61</v>
      </c>
      <c r="G16" s="7"/>
      <c r="H16" s="9" t="b">
        <v>1</v>
      </c>
      <c r="I16" s="7" t="s">
        <v>82</v>
      </c>
    </row>
    <row r="17" spans="1:9" ht="56.1" customHeight="1">
      <c r="A17" s="8" t="s">
        <v>83</v>
      </c>
      <c r="B17" s="6" t="b">
        <v>1</v>
      </c>
      <c r="C17" s="4" t="s">
        <v>65</v>
      </c>
      <c r="D17" s="8" t="s">
        <v>84</v>
      </c>
      <c r="E17" s="4" t="str">
        <f t="shared" si="0"/>
        <v>PROPOSED notify</v>
      </c>
      <c r="F17" s="4" t="s">
        <v>61</v>
      </c>
      <c r="G17" s="8"/>
      <c r="H17" s="10" t="b">
        <v>1</v>
      </c>
      <c r="I17" s="8" t="s">
        <v>85</v>
      </c>
    </row>
    <row r="18" spans="1:9" ht="56.1" customHeight="1">
      <c r="A18" s="7" t="s">
        <v>86</v>
      </c>
      <c r="B18" s="6" t="b">
        <v>1</v>
      </c>
      <c r="C18" s="5" t="s">
        <v>65</v>
      </c>
      <c r="D18" s="7" t="s">
        <v>87</v>
      </c>
      <c r="E18" s="5" t="str">
        <f t="shared" si="0"/>
        <v>PROPOSED notify</v>
      </c>
      <c r="F18" s="5" t="s">
        <v>61</v>
      </c>
      <c r="G18" s="7"/>
      <c r="H18" s="9" t="b">
        <v>1</v>
      </c>
      <c r="I18" s="7" t="s">
        <v>88</v>
      </c>
    </row>
    <row r="19" spans="1:9" ht="56.1" customHeight="1">
      <c r="A19" s="8" t="s">
        <v>89</v>
      </c>
      <c r="B19" s="6" t="b">
        <v>1</v>
      </c>
      <c r="C19" s="4" t="s">
        <v>65</v>
      </c>
      <c r="D19" s="8" t="s">
        <v>90</v>
      </c>
      <c r="E19" s="4" t="str">
        <f t="shared" si="0"/>
        <v>PROPOSED notify</v>
      </c>
      <c r="F19" s="4" t="s">
        <v>61</v>
      </c>
      <c r="G19" s="8"/>
      <c r="H19" s="10" t="b">
        <v>1</v>
      </c>
      <c r="I19" s="8" t="s">
        <v>91</v>
      </c>
    </row>
    <row r="20" spans="1:9" ht="56.1" customHeight="1">
      <c r="A20" s="7" t="s">
        <v>92</v>
      </c>
      <c r="B20" s="6" t="b">
        <v>1</v>
      </c>
      <c r="C20" s="5" t="s">
        <v>59</v>
      </c>
      <c r="D20" s="7" t="s">
        <v>93</v>
      </c>
      <c r="E20" s="5" t="str">
        <f t="shared" si="0"/>
        <v>PROPOSED notify</v>
      </c>
      <c r="F20" s="5" t="s">
        <v>61</v>
      </c>
      <c r="G20" s="7"/>
      <c r="H20" s="9" t="b">
        <v>1</v>
      </c>
      <c r="I20" s="7" t="s">
        <v>94</v>
      </c>
    </row>
    <row r="21" spans="1:9" ht="56.1" customHeight="1">
      <c r="A21" s="8" t="s">
        <v>95</v>
      </c>
      <c r="B21" s="6" t="b">
        <v>1</v>
      </c>
      <c r="C21" s="4" t="s">
        <v>65</v>
      </c>
      <c r="D21" s="8" t="s">
        <v>96</v>
      </c>
      <c r="E21" s="4" t="str">
        <f t="shared" si="0"/>
        <v>PROPOSED notify</v>
      </c>
      <c r="F21" s="4" t="s">
        <v>61</v>
      </c>
      <c r="G21" s="8"/>
      <c r="H21" s="10" t="b">
        <v>1</v>
      </c>
      <c r="I21" s="8" t="s">
        <v>97</v>
      </c>
    </row>
    <row r="22" spans="1:9" ht="56.1" customHeight="1">
      <c r="A22" s="7" t="s">
        <v>98</v>
      </c>
      <c r="B22" s="6" t="b">
        <v>1</v>
      </c>
      <c r="C22" s="5" t="s">
        <v>65</v>
      </c>
      <c r="D22" s="7" t="s">
        <v>99</v>
      </c>
      <c r="E22" s="5" t="str">
        <f t="shared" si="0"/>
        <v>PROPOSED notify</v>
      </c>
      <c r="F22" s="5" t="s">
        <v>61</v>
      </c>
      <c r="G22" s="7"/>
      <c r="H22" s="9" t="b">
        <v>1</v>
      </c>
      <c r="I22" s="7" t="s">
        <v>100</v>
      </c>
    </row>
    <row r="23" spans="1:9" ht="56.1" customHeight="1">
      <c r="A23" s="8" t="s">
        <v>101</v>
      </c>
      <c r="B23" s="6" t="b">
        <v>1</v>
      </c>
      <c r="C23" s="4" t="s">
        <v>65</v>
      </c>
      <c r="D23" s="8" t="s">
        <v>102</v>
      </c>
      <c r="E23" s="4" t="str">
        <f t="shared" si="0"/>
        <v>PROPOSED notify</v>
      </c>
      <c r="F23" s="4" t="s">
        <v>61</v>
      </c>
      <c r="G23" s="8"/>
      <c r="H23" s="10" t="b">
        <v>1</v>
      </c>
      <c r="I23" s="8" t="s">
        <v>103</v>
      </c>
    </row>
    <row r="24" spans="1:9" ht="56.1" customHeight="1">
      <c r="A24" s="7" t="s">
        <v>104</v>
      </c>
      <c r="B24" s="6" t="b">
        <v>1</v>
      </c>
      <c r="C24" s="5" t="s">
        <v>59</v>
      </c>
      <c r="D24" s="7" t="s">
        <v>105</v>
      </c>
      <c r="E24" s="5" t="str">
        <f t="shared" si="0"/>
        <v>PROPOSED notify</v>
      </c>
      <c r="F24" s="5" t="s">
        <v>61</v>
      </c>
      <c r="G24" s="7"/>
      <c r="H24" s="9" t="b">
        <v>1</v>
      </c>
      <c r="I24" s="7" t="s">
        <v>106</v>
      </c>
    </row>
    <row r="25" spans="1:9" ht="56.1" customHeight="1">
      <c r="A25" s="8" t="s">
        <v>107</v>
      </c>
      <c r="B25" s="6" t="b">
        <v>1</v>
      </c>
      <c r="C25" s="4" t="s">
        <v>65</v>
      </c>
      <c r="D25" s="8" t="s">
        <v>108</v>
      </c>
      <c r="E25" s="4" t="str">
        <f t="shared" si="0"/>
        <v>PROPOSED notify</v>
      </c>
      <c r="F25" s="4" t="s">
        <v>61</v>
      </c>
      <c r="G25" s="8"/>
      <c r="H25" s="10" t="b">
        <v>1</v>
      </c>
      <c r="I25" s="8" t="s">
        <v>109</v>
      </c>
    </row>
    <row r="26" spans="1:9" ht="56.1" customHeight="1">
      <c r="A26" s="7" t="s">
        <v>110</v>
      </c>
      <c r="B26" s="6" t="b">
        <v>1</v>
      </c>
      <c r="C26" s="5" t="s">
        <v>65</v>
      </c>
      <c r="D26" s="7" t="s">
        <v>111</v>
      </c>
      <c r="E26" s="5" t="str">
        <f t="shared" si="0"/>
        <v>PROPOSED notify</v>
      </c>
      <c r="F26" s="5" t="s">
        <v>61</v>
      </c>
      <c r="G26" s="7"/>
      <c r="H26" s="9" t="b">
        <v>1</v>
      </c>
      <c r="I26" s="7" t="s">
        <v>112</v>
      </c>
    </row>
    <row r="27" spans="1:9" ht="56.1" customHeight="1">
      <c r="A27" s="8" t="s">
        <v>113</v>
      </c>
      <c r="B27" s="6" t="b">
        <v>1</v>
      </c>
      <c r="C27" s="4" t="s">
        <v>65</v>
      </c>
      <c r="D27" s="8" t="s">
        <v>114</v>
      </c>
      <c r="E27" s="4" t="str">
        <f t="shared" si="0"/>
        <v>PROPOSED notify</v>
      </c>
      <c r="F27" s="4" t="s">
        <v>61</v>
      </c>
      <c r="G27" s="8"/>
      <c r="H27" s="10" t="b">
        <v>1</v>
      </c>
      <c r="I27" s="8" t="s">
        <v>115</v>
      </c>
    </row>
    <row r="28" spans="1:9" ht="56.1" customHeight="1">
      <c r="A28" s="7" t="s">
        <v>116</v>
      </c>
      <c r="B28" s="6" t="b">
        <v>1</v>
      </c>
      <c r="C28" s="5" t="s">
        <v>59</v>
      </c>
      <c r="D28" s="7" t="s">
        <v>117</v>
      </c>
      <c r="E28" s="5" t="str">
        <f t="shared" si="0"/>
        <v>PROPOSED notify</v>
      </c>
      <c r="F28" s="5" t="s">
        <v>61</v>
      </c>
      <c r="G28" s="7"/>
      <c r="H28" s="9" t="b">
        <v>1</v>
      </c>
      <c r="I28" s="7" t="s">
        <v>118</v>
      </c>
    </row>
    <row r="29" spans="1:9" ht="56.1" customHeight="1">
      <c r="A29" s="8" t="s">
        <v>119</v>
      </c>
      <c r="B29" s="6" t="b">
        <v>1</v>
      </c>
      <c r="C29" s="4" t="s">
        <v>65</v>
      </c>
      <c r="D29" s="8" t="s">
        <v>120</v>
      </c>
      <c r="E29" s="4" t="str">
        <f t="shared" si="0"/>
        <v>PROPOSED notify</v>
      </c>
      <c r="F29" s="4" t="s">
        <v>61</v>
      </c>
      <c r="G29" s="8"/>
      <c r="H29" s="10" t="b">
        <v>1</v>
      </c>
      <c r="I29" s="8" t="s">
        <v>121</v>
      </c>
    </row>
    <row r="30" spans="1:9" ht="56.1" customHeight="1">
      <c r="A30" s="7" t="s">
        <v>122</v>
      </c>
      <c r="B30" s="6" t="b">
        <v>1</v>
      </c>
      <c r="C30" s="5" t="s">
        <v>65</v>
      </c>
      <c r="D30" s="7" t="s">
        <v>123</v>
      </c>
      <c r="E30" s="5" t="str">
        <f t="shared" si="0"/>
        <v>PROPOSED notify</v>
      </c>
      <c r="F30" s="5" t="s">
        <v>61</v>
      </c>
      <c r="G30" s="7"/>
      <c r="H30" s="9" t="b">
        <v>1</v>
      </c>
      <c r="I30" s="7" t="s">
        <v>124</v>
      </c>
    </row>
    <row r="31" spans="1:9" ht="56.1" customHeight="1">
      <c r="A31" s="8" t="s">
        <v>125</v>
      </c>
      <c r="B31" s="6" t="b">
        <v>0</v>
      </c>
      <c r="C31" s="4" t="s">
        <v>59</v>
      </c>
      <c r="D31" s="8" t="s">
        <v>126</v>
      </c>
      <c r="E31" s="4" t="str">
        <f t="shared" si="0"/>
        <v>PROPOSED no_notify</v>
      </c>
      <c r="F31" s="4" t="s">
        <v>61</v>
      </c>
      <c r="G31" s="8" t="s">
        <v>127</v>
      </c>
      <c r="H31" s="10" t="b">
        <v>0</v>
      </c>
      <c r="I31" s="8" t="s">
        <v>128</v>
      </c>
    </row>
    <row r="32" spans="1:9" ht="56.1" customHeight="1">
      <c r="A32" s="7" t="s">
        <v>129</v>
      </c>
      <c r="B32" s="6" t="b">
        <v>0</v>
      </c>
      <c r="C32" s="5" t="s">
        <v>59</v>
      </c>
      <c r="D32" s="7" t="s">
        <v>130</v>
      </c>
      <c r="E32" s="5" t="str">
        <f t="shared" si="0"/>
        <v>PROPOSED no_notify</v>
      </c>
      <c r="F32" s="5" t="s">
        <v>61</v>
      </c>
      <c r="G32" s="7" t="s">
        <v>127</v>
      </c>
      <c r="H32" s="9" t="b">
        <v>0</v>
      </c>
      <c r="I32" s="7" t="s">
        <v>131</v>
      </c>
    </row>
    <row r="33" spans="1:9" ht="56.1" customHeight="1">
      <c r="A33" s="8" t="s">
        <v>132</v>
      </c>
      <c r="B33" s="6" t="b">
        <v>0</v>
      </c>
      <c r="C33" s="4" t="s">
        <v>59</v>
      </c>
      <c r="D33" s="8" t="s">
        <v>133</v>
      </c>
      <c r="E33" s="4" t="str">
        <f t="shared" si="0"/>
        <v>PROPOSED no_notify</v>
      </c>
      <c r="F33" s="4" t="s">
        <v>61</v>
      </c>
      <c r="G33" s="8" t="s">
        <v>127</v>
      </c>
      <c r="H33" s="10" t="b">
        <v>0</v>
      </c>
      <c r="I33" s="8" t="s">
        <v>134</v>
      </c>
    </row>
    <row r="34" spans="1:9" ht="56.1" customHeight="1">
      <c r="A34" s="7" t="s">
        <v>135</v>
      </c>
      <c r="B34" s="6" t="b">
        <v>0</v>
      </c>
      <c r="C34" s="5" t="s">
        <v>59</v>
      </c>
      <c r="D34" s="7" t="s">
        <v>136</v>
      </c>
      <c r="E34" s="5" t="str">
        <f t="shared" si="0"/>
        <v>PROPOSED no_notify</v>
      </c>
      <c r="F34" s="5" t="s">
        <v>61</v>
      </c>
      <c r="G34" s="7" t="s">
        <v>127</v>
      </c>
      <c r="H34" s="9" t="b">
        <v>0</v>
      </c>
      <c r="I34" s="7" t="s">
        <v>137</v>
      </c>
    </row>
    <row r="35" spans="1:9" ht="56.1" customHeight="1">
      <c r="A35" s="8" t="s">
        <v>138</v>
      </c>
      <c r="B35" s="6" t="b">
        <v>1</v>
      </c>
      <c r="C35" s="4" t="s">
        <v>65</v>
      </c>
      <c r="D35" s="8" t="s">
        <v>139</v>
      </c>
      <c r="E35" s="4" t="str">
        <f t="shared" si="0"/>
        <v>PROPOSED notify</v>
      </c>
      <c r="F35" s="4" t="s">
        <v>61</v>
      </c>
      <c r="G35" s="8"/>
      <c r="H35" s="10" t="b">
        <v>1</v>
      </c>
      <c r="I35" s="8" t="s">
        <v>140</v>
      </c>
    </row>
    <row r="36" spans="1:9" ht="56.1" customHeight="1">
      <c r="A36" s="7" t="s">
        <v>141</v>
      </c>
      <c r="B36" s="6" t="b">
        <v>0</v>
      </c>
      <c r="C36" s="5" t="s">
        <v>59</v>
      </c>
      <c r="D36" s="7" t="s">
        <v>142</v>
      </c>
      <c r="E36" s="5" t="str">
        <f t="shared" si="0"/>
        <v>PROPOSED no_notify</v>
      </c>
      <c r="F36" s="5" t="s">
        <v>61</v>
      </c>
      <c r="G36" s="7" t="s">
        <v>127</v>
      </c>
      <c r="H36" s="9" t="b">
        <v>0</v>
      </c>
      <c r="I36" s="7" t="s">
        <v>143</v>
      </c>
    </row>
    <row r="37" spans="1:9" ht="56.1" customHeight="1">
      <c r="A37" s="8" t="s">
        <v>144</v>
      </c>
      <c r="B37" s="6" t="b">
        <v>0</v>
      </c>
      <c r="C37" s="4" t="s">
        <v>59</v>
      </c>
      <c r="D37" s="8" t="s">
        <v>145</v>
      </c>
      <c r="E37" s="4" t="str">
        <f t="shared" si="0"/>
        <v>PROPOSED no_notify</v>
      </c>
      <c r="F37" s="4" t="s">
        <v>61</v>
      </c>
      <c r="G37" s="8" t="s">
        <v>127</v>
      </c>
      <c r="H37" s="10" t="b">
        <v>0</v>
      </c>
      <c r="I37" s="8" t="s">
        <v>146</v>
      </c>
    </row>
    <row r="38" spans="1:9" ht="56.1" customHeight="1">
      <c r="A38" s="7" t="s">
        <v>147</v>
      </c>
      <c r="B38" s="6" t="b">
        <v>0</v>
      </c>
      <c r="C38" s="5" t="s">
        <v>59</v>
      </c>
      <c r="D38" s="7" t="s">
        <v>148</v>
      </c>
      <c r="E38" s="5" t="str">
        <f t="shared" si="0"/>
        <v>PROPOSED no_notify</v>
      </c>
      <c r="F38" s="5" t="s">
        <v>61</v>
      </c>
      <c r="G38" s="7" t="s">
        <v>127</v>
      </c>
      <c r="H38" s="9" t="b">
        <v>0</v>
      </c>
      <c r="I38" s="7" t="s">
        <v>149</v>
      </c>
    </row>
    <row r="39" spans="1:9" ht="56.1" customHeight="1">
      <c r="A39" s="8" t="s">
        <v>150</v>
      </c>
      <c r="B39" s="6" t="b">
        <v>0</v>
      </c>
      <c r="C39" s="4" t="s">
        <v>59</v>
      </c>
      <c r="D39" s="8" t="s">
        <v>151</v>
      </c>
      <c r="E39" s="4" t="str">
        <f t="shared" si="0"/>
        <v>PROPOSED no_notify</v>
      </c>
      <c r="F39" s="4" t="s">
        <v>61</v>
      </c>
      <c r="G39" s="8" t="s">
        <v>127</v>
      </c>
      <c r="H39" s="10" t="b">
        <v>0</v>
      </c>
      <c r="I39" s="8" t="s">
        <v>152</v>
      </c>
    </row>
    <row r="40" spans="1:9" ht="56.1" customHeight="1">
      <c r="A40" s="7" t="s">
        <v>153</v>
      </c>
      <c r="B40" s="6" t="b">
        <v>1</v>
      </c>
      <c r="C40" s="5" t="s">
        <v>65</v>
      </c>
      <c r="D40" s="7" t="s">
        <v>154</v>
      </c>
      <c r="E40" s="5" t="str">
        <f t="shared" si="0"/>
        <v>PROPOSED notify</v>
      </c>
      <c r="F40" s="5" t="s">
        <v>61</v>
      </c>
      <c r="G40" s="7"/>
      <c r="H40" s="9" t="b">
        <v>1</v>
      </c>
      <c r="I40" s="7" t="s">
        <v>155</v>
      </c>
    </row>
    <row r="41" spans="1:9" ht="56.1" customHeight="1">
      <c r="A41" s="8" t="s">
        <v>156</v>
      </c>
      <c r="B41" s="6" t="b">
        <v>0</v>
      </c>
      <c r="C41" s="4" t="s">
        <v>59</v>
      </c>
      <c r="D41" s="8" t="s">
        <v>157</v>
      </c>
      <c r="E41" s="4" t="str">
        <f t="shared" si="0"/>
        <v>PROPOSED no_notify</v>
      </c>
      <c r="F41" s="4" t="s">
        <v>61</v>
      </c>
      <c r="G41" s="8" t="s">
        <v>127</v>
      </c>
      <c r="H41" s="10" t="b">
        <v>0</v>
      </c>
      <c r="I41" s="8" t="s">
        <v>158</v>
      </c>
    </row>
    <row r="42" spans="1:9" ht="56.1" customHeight="1">
      <c r="A42" s="7" t="s">
        <v>159</v>
      </c>
      <c r="B42" s="6" t="b">
        <v>0</v>
      </c>
      <c r="C42" s="5" t="s">
        <v>59</v>
      </c>
      <c r="D42" s="7" t="s">
        <v>160</v>
      </c>
      <c r="E42" s="5" t="str">
        <f t="shared" ref="E42:E73" si="1">IF(ISBLANK(B42),"REVIEW",IF(B42,"PROPOSED notify","PROPOSED no_notify"))</f>
        <v>PROPOSED no_notify</v>
      </c>
      <c r="F42" s="5" t="s">
        <v>61</v>
      </c>
      <c r="G42" s="7" t="s">
        <v>127</v>
      </c>
      <c r="H42" s="9" t="b">
        <v>0</v>
      </c>
      <c r="I42" s="7" t="s">
        <v>161</v>
      </c>
    </row>
    <row r="43" spans="1:9" ht="56.1" customHeight="1">
      <c r="A43" s="8" t="s">
        <v>162</v>
      </c>
      <c r="B43" s="6" t="b">
        <v>0</v>
      </c>
      <c r="C43" s="4" t="s">
        <v>59</v>
      </c>
      <c r="D43" s="8" t="s">
        <v>163</v>
      </c>
      <c r="E43" s="4" t="str">
        <f t="shared" si="1"/>
        <v>PROPOSED no_notify</v>
      </c>
      <c r="F43" s="4" t="s">
        <v>61</v>
      </c>
      <c r="G43" s="8" t="s">
        <v>127</v>
      </c>
      <c r="H43" s="10" t="b">
        <v>0</v>
      </c>
      <c r="I43" s="8" t="s">
        <v>164</v>
      </c>
    </row>
    <row r="44" spans="1:9" ht="56.1" customHeight="1">
      <c r="A44" s="7" t="s">
        <v>165</v>
      </c>
      <c r="B44" s="6" t="b">
        <v>0</v>
      </c>
      <c r="C44" s="5" t="s">
        <v>59</v>
      </c>
      <c r="D44" s="7" t="s">
        <v>166</v>
      </c>
      <c r="E44" s="5" t="str">
        <f t="shared" si="1"/>
        <v>PROPOSED no_notify</v>
      </c>
      <c r="F44" s="5" t="s">
        <v>61</v>
      </c>
      <c r="G44" s="7" t="s">
        <v>127</v>
      </c>
      <c r="H44" s="9" t="b">
        <v>0</v>
      </c>
      <c r="I44" s="7" t="s">
        <v>167</v>
      </c>
    </row>
    <row r="45" spans="1:9" ht="56.1" customHeight="1">
      <c r="A45" s="8" t="s">
        <v>168</v>
      </c>
      <c r="B45" s="6" t="b">
        <v>1</v>
      </c>
      <c r="C45" s="4" t="s">
        <v>65</v>
      </c>
      <c r="D45" s="8" t="s">
        <v>169</v>
      </c>
      <c r="E45" s="4" t="str">
        <f t="shared" si="1"/>
        <v>PROPOSED notify</v>
      </c>
      <c r="F45" s="4" t="s">
        <v>61</v>
      </c>
      <c r="G45" s="8"/>
      <c r="H45" s="10" t="b">
        <v>1</v>
      </c>
      <c r="I45" s="8" t="s">
        <v>170</v>
      </c>
    </row>
    <row r="46" spans="1:9" ht="56.1" customHeight="1">
      <c r="A46" s="7" t="s">
        <v>171</v>
      </c>
      <c r="B46" s="6" t="b">
        <v>0</v>
      </c>
      <c r="C46" s="5" t="s">
        <v>59</v>
      </c>
      <c r="D46" s="7" t="s">
        <v>172</v>
      </c>
      <c r="E46" s="5" t="str">
        <f t="shared" si="1"/>
        <v>PROPOSED no_notify</v>
      </c>
      <c r="F46" s="5" t="s">
        <v>61</v>
      </c>
      <c r="G46" s="7" t="s">
        <v>127</v>
      </c>
      <c r="H46" s="9" t="b">
        <v>0</v>
      </c>
      <c r="I46" s="7" t="s">
        <v>173</v>
      </c>
    </row>
    <row r="47" spans="1:9" ht="56.1" customHeight="1">
      <c r="A47" s="8" t="s">
        <v>174</v>
      </c>
      <c r="B47" s="6" t="b">
        <v>0</v>
      </c>
      <c r="C47" s="4" t="s">
        <v>59</v>
      </c>
      <c r="D47" s="8" t="s">
        <v>175</v>
      </c>
      <c r="E47" s="4" t="str">
        <f t="shared" si="1"/>
        <v>PROPOSED no_notify</v>
      </c>
      <c r="F47" s="4" t="s">
        <v>61</v>
      </c>
      <c r="G47" s="8" t="s">
        <v>127</v>
      </c>
      <c r="H47" s="10" t="b">
        <v>0</v>
      </c>
      <c r="I47" s="8" t="s">
        <v>176</v>
      </c>
    </row>
    <row r="48" spans="1:9" ht="56.1" customHeight="1">
      <c r="A48" s="7" t="s">
        <v>177</v>
      </c>
      <c r="B48" s="6" t="b">
        <v>0</v>
      </c>
      <c r="C48" s="5" t="s">
        <v>59</v>
      </c>
      <c r="D48" s="7" t="s">
        <v>178</v>
      </c>
      <c r="E48" s="5" t="str">
        <f t="shared" si="1"/>
        <v>PROPOSED no_notify</v>
      </c>
      <c r="F48" s="5" t="s">
        <v>61</v>
      </c>
      <c r="G48" s="7" t="s">
        <v>127</v>
      </c>
      <c r="H48" s="9" t="b">
        <v>0</v>
      </c>
      <c r="I48" s="7" t="s">
        <v>179</v>
      </c>
    </row>
    <row r="49" spans="1:9" ht="56.1" customHeight="1">
      <c r="A49" s="8" t="s">
        <v>180</v>
      </c>
      <c r="B49" s="6" t="b">
        <v>0</v>
      </c>
      <c r="C49" s="4" t="s">
        <v>59</v>
      </c>
      <c r="D49" s="8" t="s">
        <v>181</v>
      </c>
      <c r="E49" s="4" t="str">
        <f t="shared" si="1"/>
        <v>PROPOSED no_notify</v>
      </c>
      <c r="F49" s="4" t="s">
        <v>61</v>
      </c>
      <c r="G49" s="8" t="s">
        <v>127</v>
      </c>
      <c r="H49" s="10" t="b">
        <v>0</v>
      </c>
      <c r="I49" s="8" t="s">
        <v>182</v>
      </c>
    </row>
    <row r="50" spans="1:9" ht="56.1" customHeight="1">
      <c r="A50" s="7" t="s">
        <v>183</v>
      </c>
      <c r="B50" s="6" t="b">
        <v>1</v>
      </c>
      <c r="C50" s="5" t="s">
        <v>65</v>
      </c>
      <c r="D50" s="7" t="s">
        <v>184</v>
      </c>
      <c r="E50" s="5" t="str">
        <f t="shared" si="1"/>
        <v>PROPOSED notify</v>
      </c>
      <c r="F50" s="5" t="s">
        <v>61</v>
      </c>
      <c r="G50" s="7"/>
      <c r="H50" s="9" t="b">
        <v>1</v>
      </c>
      <c r="I50" s="7" t="s">
        <v>185</v>
      </c>
    </row>
    <row r="51" spans="1:9" ht="56.1" customHeight="1">
      <c r="A51" s="8" t="s">
        <v>186</v>
      </c>
      <c r="B51" s="6" t="b">
        <v>0</v>
      </c>
      <c r="C51" s="4" t="s">
        <v>59</v>
      </c>
      <c r="D51" s="8" t="s">
        <v>187</v>
      </c>
      <c r="E51" s="4" t="str">
        <f t="shared" si="1"/>
        <v>PROPOSED no_notify</v>
      </c>
      <c r="F51" s="4" t="s">
        <v>61</v>
      </c>
      <c r="G51" s="8" t="s">
        <v>188</v>
      </c>
      <c r="H51" s="10" t="b">
        <v>0</v>
      </c>
      <c r="I51" s="8" t="s">
        <v>189</v>
      </c>
    </row>
    <row r="52" spans="1:9" ht="56.1" customHeight="1">
      <c r="A52" s="7" t="s">
        <v>190</v>
      </c>
      <c r="B52" s="6" t="b">
        <v>0</v>
      </c>
      <c r="C52" s="5" t="s">
        <v>59</v>
      </c>
      <c r="D52" s="7" t="s">
        <v>191</v>
      </c>
      <c r="E52" s="5" t="str">
        <f t="shared" si="1"/>
        <v>PROPOSED no_notify</v>
      </c>
      <c r="F52" s="5" t="s">
        <v>61</v>
      </c>
      <c r="G52" s="7" t="s">
        <v>188</v>
      </c>
      <c r="H52" s="9" t="b">
        <v>0</v>
      </c>
      <c r="I52" s="7" t="s">
        <v>192</v>
      </c>
    </row>
    <row r="53" spans="1:9" ht="56.1" customHeight="1">
      <c r="A53" s="8" t="s">
        <v>193</v>
      </c>
      <c r="B53" s="6" t="b">
        <v>0</v>
      </c>
      <c r="C53" s="4" t="s">
        <v>59</v>
      </c>
      <c r="D53" s="8" t="s">
        <v>194</v>
      </c>
      <c r="E53" s="4" t="str">
        <f t="shared" si="1"/>
        <v>PROPOSED no_notify</v>
      </c>
      <c r="F53" s="4" t="s">
        <v>61</v>
      </c>
      <c r="G53" s="8" t="s">
        <v>188</v>
      </c>
      <c r="H53" s="10" t="b">
        <v>0</v>
      </c>
      <c r="I53" s="8" t="s">
        <v>195</v>
      </c>
    </row>
    <row r="54" spans="1:9" ht="56.1" customHeight="1">
      <c r="A54" s="7" t="s">
        <v>196</v>
      </c>
      <c r="B54" s="6" t="b">
        <v>0</v>
      </c>
      <c r="C54" s="5" t="s">
        <v>59</v>
      </c>
      <c r="D54" s="7" t="s">
        <v>197</v>
      </c>
      <c r="E54" s="5" t="str">
        <f t="shared" si="1"/>
        <v>PROPOSED no_notify</v>
      </c>
      <c r="F54" s="5" t="s">
        <v>61</v>
      </c>
      <c r="G54" s="7" t="s">
        <v>188</v>
      </c>
      <c r="H54" s="9" t="b">
        <v>0</v>
      </c>
      <c r="I54" s="7" t="s">
        <v>198</v>
      </c>
    </row>
    <row r="55" spans="1:9" ht="56.1" customHeight="1">
      <c r="A55" s="8" t="s">
        <v>199</v>
      </c>
      <c r="B55" s="6" t="b">
        <v>1</v>
      </c>
      <c r="C55" s="4" t="s">
        <v>65</v>
      </c>
      <c r="D55" s="8" t="s">
        <v>200</v>
      </c>
      <c r="E55" s="4" t="str">
        <f t="shared" si="1"/>
        <v>PROPOSED notify</v>
      </c>
      <c r="F55" s="4" t="s">
        <v>61</v>
      </c>
      <c r="G55" s="8"/>
      <c r="H55" s="10" t="b">
        <v>1</v>
      </c>
      <c r="I55" s="8" t="s">
        <v>201</v>
      </c>
    </row>
    <row r="56" spans="1:9" ht="56.1" customHeight="1">
      <c r="A56" s="7" t="s">
        <v>202</v>
      </c>
      <c r="B56" s="6" t="b">
        <v>0</v>
      </c>
      <c r="C56" s="5" t="s">
        <v>59</v>
      </c>
      <c r="D56" s="7" t="s">
        <v>203</v>
      </c>
      <c r="E56" s="5" t="str">
        <f t="shared" si="1"/>
        <v>PROPOSED no_notify</v>
      </c>
      <c r="F56" s="5" t="s">
        <v>61</v>
      </c>
      <c r="G56" s="7" t="s">
        <v>188</v>
      </c>
      <c r="H56" s="9" t="b">
        <v>0</v>
      </c>
      <c r="I56" s="7" t="s">
        <v>204</v>
      </c>
    </row>
    <row r="57" spans="1:9" ht="56.1" customHeight="1">
      <c r="A57" s="8" t="s">
        <v>205</v>
      </c>
      <c r="B57" s="6" t="b">
        <v>0</v>
      </c>
      <c r="C57" s="4" t="s">
        <v>59</v>
      </c>
      <c r="D57" s="8" t="s">
        <v>206</v>
      </c>
      <c r="E57" s="4" t="str">
        <f t="shared" si="1"/>
        <v>PROPOSED no_notify</v>
      </c>
      <c r="F57" s="4" t="s">
        <v>61</v>
      </c>
      <c r="G57" s="8" t="s">
        <v>188</v>
      </c>
      <c r="H57" s="10" t="b">
        <v>0</v>
      </c>
      <c r="I57" s="8" t="s">
        <v>207</v>
      </c>
    </row>
    <row r="58" spans="1:9" ht="56.1" customHeight="1">
      <c r="A58" s="7" t="s">
        <v>208</v>
      </c>
      <c r="B58" s="6" t="b">
        <v>0</v>
      </c>
      <c r="C58" s="5" t="s">
        <v>59</v>
      </c>
      <c r="D58" s="7" t="s">
        <v>209</v>
      </c>
      <c r="E58" s="5" t="str">
        <f t="shared" si="1"/>
        <v>PROPOSED no_notify</v>
      </c>
      <c r="F58" s="5" t="s">
        <v>61</v>
      </c>
      <c r="G58" s="7" t="s">
        <v>188</v>
      </c>
      <c r="H58" s="9" t="b">
        <v>0</v>
      </c>
      <c r="I58" s="7" t="s">
        <v>210</v>
      </c>
    </row>
    <row r="59" spans="1:9" ht="56.1" customHeight="1">
      <c r="A59" s="8" t="s">
        <v>211</v>
      </c>
      <c r="B59" s="6" t="b">
        <v>0</v>
      </c>
      <c r="C59" s="4" t="s">
        <v>59</v>
      </c>
      <c r="D59" s="8" t="s">
        <v>212</v>
      </c>
      <c r="E59" s="4" t="str">
        <f t="shared" si="1"/>
        <v>PROPOSED no_notify</v>
      </c>
      <c r="F59" s="4" t="s">
        <v>61</v>
      </c>
      <c r="G59" s="8" t="s">
        <v>188</v>
      </c>
      <c r="H59" s="10" t="b">
        <v>0</v>
      </c>
      <c r="I59" s="8" t="s">
        <v>213</v>
      </c>
    </row>
    <row r="60" spans="1:9" ht="56.1" customHeight="1">
      <c r="A60" s="7" t="s">
        <v>214</v>
      </c>
      <c r="B60" s="6" t="b">
        <v>1</v>
      </c>
      <c r="C60" s="5" t="s">
        <v>65</v>
      </c>
      <c r="D60" s="7" t="s">
        <v>215</v>
      </c>
      <c r="E60" s="5" t="str">
        <f t="shared" si="1"/>
        <v>PROPOSED notify</v>
      </c>
      <c r="F60" s="5" t="s">
        <v>61</v>
      </c>
      <c r="G60" s="7"/>
      <c r="H60" s="9" t="b">
        <v>1</v>
      </c>
      <c r="I60" s="7" t="s">
        <v>216</v>
      </c>
    </row>
    <row r="61" spans="1:9" ht="56.1" customHeight="1">
      <c r="A61" s="8" t="s">
        <v>217</v>
      </c>
      <c r="B61" s="6" t="b">
        <v>1</v>
      </c>
      <c r="C61" s="4" t="s">
        <v>59</v>
      </c>
      <c r="D61" s="8" t="s">
        <v>218</v>
      </c>
      <c r="E61" s="4" t="str">
        <f t="shared" si="1"/>
        <v>PROPOSED notify</v>
      </c>
      <c r="F61" s="4" t="s">
        <v>61</v>
      </c>
      <c r="G61" s="8"/>
      <c r="H61" s="10" t="b">
        <v>1</v>
      </c>
      <c r="I61" s="8" t="s">
        <v>219</v>
      </c>
    </row>
    <row r="62" spans="1:9" ht="56.1" customHeight="1">
      <c r="A62" s="7" t="s">
        <v>220</v>
      </c>
      <c r="B62" s="6" t="b">
        <v>0</v>
      </c>
      <c r="C62" s="5" t="s">
        <v>59</v>
      </c>
      <c r="D62" s="7" t="s">
        <v>221</v>
      </c>
      <c r="E62" s="5" t="str">
        <f t="shared" si="1"/>
        <v>PROPOSED no_notify</v>
      </c>
      <c r="F62" s="5" t="s">
        <v>61</v>
      </c>
      <c r="G62" s="7" t="s">
        <v>188</v>
      </c>
      <c r="H62" s="9" t="b">
        <v>0</v>
      </c>
      <c r="I62" s="7" t="s">
        <v>222</v>
      </c>
    </row>
    <row r="63" spans="1:9" ht="56.1" customHeight="1">
      <c r="A63" s="8" t="s">
        <v>223</v>
      </c>
      <c r="B63" s="6" t="b">
        <v>0</v>
      </c>
      <c r="C63" s="4" t="s">
        <v>59</v>
      </c>
      <c r="D63" s="8" t="s">
        <v>224</v>
      </c>
      <c r="E63" s="4" t="str">
        <f t="shared" si="1"/>
        <v>PROPOSED no_notify</v>
      </c>
      <c r="F63" s="4" t="s">
        <v>61</v>
      </c>
      <c r="G63" s="8" t="s">
        <v>188</v>
      </c>
      <c r="H63" s="10" t="b">
        <v>0</v>
      </c>
      <c r="I63" s="8" t="s">
        <v>225</v>
      </c>
    </row>
    <row r="64" spans="1:9" ht="56.1" customHeight="1">
      <c r="A64" s="7" t="s">
        <v>226</v>
      </c>
      <c r="B64" s="6" t="b">
        <v>0</v>
      </c>
      <c r="C64" s="5" t="s">
        <v>59</v>
      </c>
      <c r="D64" s="7" t="s">
        <v>227</v>
      </c>
      <c r="E64" s="5" t="str">
        <f t="shared" si="1"/>
        <v>PROPOSED no_notify</v>
      </c>
      <c r="F64" s="5" t="s">
        <v>61</v>
      </c>
      <c r="G64" s="7" t="s">
        <v>188</v>
      </c>
      <c r="H64" s="9" t="b">
        <v>0</v>
      </c>
      <c r="I64" s="7" t="s">
        <v>228</v>
      </c>
    </row>
    <row r="65" spans="1:9" ht="56.1" customHeight="1">
      <c r="A65" s="8" t="s">
        <v>229</v>
      </c>
      <c r="B65" s="6" t="b">
        <v>1</v>
      </c>
      <c r="C65" s="4" t="s">
        <v>65</v>
      </c>
      <c r="D65" s="8" t="s">
        <v>230</v>
      </c>
      <c r="E65" s="4" t="str">
        <f t="shared" si="1"/>
        <v>PROPOSED notify</v>
      </c>
      <c r="F65" s="4" t="s">
        <v>61</v>
      </c>
      <c r="G65" s="8"/>
      <c r="H65" s="10" t="b">
        <v>1</v>
      </c>
      <c r="I65" s="8" t="s">
        <v>231</v>
      </c>
    </row>
    <row r="66" spans="1:9" ht="56.1" customHeight="1">
      <c r="A66" s="7" t="s">
        <v>232</v>
      </c>
      <c r="B66" s="6" t="b">
        <v>0</v>
      </c>
      <c r="C66" s="5" t="s">
        <v>59</v>
      </c>
      <c r="D66" s="7" t="s">
        <v>233</v>
      </c>
      <c r="E66" s="5" t="str">
        <f t="shared" si="1"/>
        <v>PROPOSED no_notify</v>
      </c>
      <c r="F66" s="5" t="s">
        <v>61</v>
      </c>
      <c r="G66" s="7" t="s">
        <v>188</v>
      </c>
      <c r="H66" s="9" t="b">
        <v>0</v>
      </c>
      <c r="I66" s="7" t="s">
        <v>234</v>
      </c>
    </row>
    <row r="67" spans="1:9" ht="56.1" customHeight="1">
      <c r="A67" s="8" t="s">
        <v>235</v>
      </c>
      <c r="B67" s="6" t="b">
        <v>0</v>
      </c>
      <c r="C67" s="4" t="s">
        <v>59</v>
      </c>
      <c r="D67" s="8" t="s">
        <v>236</v>
      </c>
      <c r="E67" s="4" t="str">
        <f t="shared" si="1"/>
        <v>PROPOSED no_notify</v>
      </c>
      <c r="F67" s="4" t="s">
        <v>61</v>
      </c>
      <c r="G67" s="8" t="s">
        <v>188</v>
      </c>
      <c r="H67" s="10" t="b">
        <v>0</v>
      </c>
      <c r="I67" s="8" t="s">
        <v>237</v>
      </c>
    </row>
    <row r="68" spans="1:9" ht="56.1" customHeight="1">
      <c r="A68" s="7" t="s">
        <v>238</v>
      </c>
      <c r="B68" s="6" t="b">
        <v>1</v>
      </c>
      <c r="C68" s="5" t="s">
        <v>59</v>
      </c>
      <c r="D68" s="7" t="s">
        <v>239</v>
      </c>
      <c r="E68" s="5" t="str">
        <f t="shared" si="1"/>
        <v>PROPOSED notify</v>
      </c>
      <c r="F68" s="5" t="s">
        <v>61</v>
      </c>
      <c r="G68" s="7"/>
      <c r="H68" s="9" t="b">
        <v>1</v>
      </c>
      <c r="I68" s="7" t="s">
        <v>240</v>
      </c>
    </row>
    <row r="69" spans="1:9" ht="56.1" customHeight="1">
      <c r="A69" s="8" t="s">
        <v>241</v>
      </c>
      <c r="B69" s="6" t="b">
        <v>1</v>
      </c>
      <c r="C69" s="4" t="s">
        <v>59</v>
      </c>
      <c r="D69" s="8" t="s">
        <v>242</v>
      </c>
      <c r="E69" s="4" t="str">
        <f t="shared" si="1"/>
        <v>PROPOSED notify</v>
      </c>
      <c r="F69" s="4" t="s">
        <v>61</v>
      </c>
      <c r="G69" s="8"/>
      <c r="H69" s="10" t="b">
        <v>1</v>
      </c>
      <c r="I69" s="8" t="s">
        <v>243</v>
      </c>
    </row>
    <row r="70" spans="1:9" ht="56.1" customHeight="1">
      <c r="A70" s="7" t="s">
        <v>244</v>
      </c>
      <c r="B70" s="6" t="b">
        <v>1</v>
      </c>
      <c r="C70" s="5" t="s">
        <v>65</v>
      </c>
      <c r="D70" s="7" t="s">
        <v>245</v>
      </c>
      <c r="E70" s="5" t="str">
        <f t="shared" si="1"/>
        <v>PROPOSED notify</v>
      </c>
      <c r="F70" s="5" t="s">
        <v>61</v>
      </c>
      <c r="G70" s="7"/>
      <c r="H70" s="9" t="b">
        <v>1</v>
      </c>
      <c r="I70" s="7" t="s">
        <v>246</v>
      </c>
    </row>
    <row r="71" spans="1:9" ht="56.1" customHeight="1">
      <c r="A71" s="8" t="s">
        <v>247</v>
      </c>
      <c r="B71" s="6" t="b">
        <v>0</v>
      </c>
      <c r="C71" s="4" t="s">
        <v>59</v>
      </c>
      <c r="D71" s="8" t="s">
        <v>248</v>
      </c>
      <c r="E71" s="4" t="str">
        <f t="shared" si="1"/>
        <v>PROPOSED no_notify</v>
      </c>
      <c r="F71" s="4" t="s">
        <v>61</v>
      </c>
      <c r="G71" s="8" t="s">
        <v>188</v>
      </c>
      <c r="H71" s="10" t="b">
        <v>0</v>
      </c>
      <c r="I71" s="8" t="s">
        <v>249</v>
      </c>
    </row>
    <row r="72" spans="1:9" ht="56.1" customHeight="1">
      <c r="A72" s="7" t="s">
        <v>250</v>
      </c>
      <c r="B72" s="6" t="b">
        <v>0</v>
      </c>
      <c r="C72" s="5" t="s">
        <v>59</v>
      </c>
      <c r="D72" s="7" t="s">
        <v>251</v>
      </c>
      <c r="E72" s="5" t="str">
        <f t="shared" si="1"/>
        <v>PROPOSED no_notify</v>
      </c>
      <c r="F72" s="5" t="s">
        <v>61</v>
      </c>
      <c r="G72" s="7" t="s">
        <v>188</v>
      </c>
      <c r="H72" s="9" t="b">
        <v>0</v>
      </c>
      <c r="I72" s="7" t="s">
        <v>252</v>
      </c>
    </row>
    <row r="73" spans="1:9" ht="56.1" customHeight="1">
      <c r="A73" s="8" t="s">
        <v>253</v>
      </c>
      <c r="B73" s="6" t="b">
        <v>1</v>
      </c>
      <c r="C73" s="4" t="s">
        <v>59</v>
      </c>
      <c r="D73" s="8" t="s">
        <v>254</v>
      </c>
      <c r="E73" s="4" t="str">
        <f t="shared" si="1"/>
        <v>PROPOSED notify</v>
      </c>
      <c r="F73" s="4" t="s">
        <v>61</v>
      </c>
      <c r="G73" s="8"/>
      <c r="H73" s="10" t="b">
        <v>1</v>
      </c>
      <c r="I73" s="8" t="s">
        <v>255</v>
      </c>
    </row>
    <row r="74" spans="1:9" ht="56.1" customHeight="1">
      <c r="A74" s="7" t="s">
        <v>256</v>
      </c>
      <c r="B74" s="6" t="b">
        <v>1</v>
      </c>
      <c r="C74" s="5" t="s">
        <v>59</v>
      </c>
      <c r="D74" s="7" t="s">
        <v>257</v>
      </c>
      <c r="E74" s="5" t="str">
        <f t="shared" ref="E74:E105" si="2">IF(ISBLANK(B74),"REVIEW",IF(B74,"PROPOSED notify","PROPOSED no_notify"))</f>
        <v>PROPOSED notify</v>
      </c>
      <c r="F74" s="5" t="s">
        <v>61</v>
      </c>
      <c r="G74" s="7"/>
      <c r="H74" s="9" t="b">
        <v>1</v>
      </c>
      <c r="I74" s="7" t="s">
        <v>258</v>
      </c>
    </row>
    <row r="75" spans="1:9" ht="56.1" customHeight="1">
      <c r="A75" s="8" t="s">
        <v>259</v>
      </c>
      <c r="B75" s="6" t="b">
        <v>1</v>
      </c>
      <c r="C75" s="4" t="s">
        <v>65</v>
      </c>
      <c r="D75" s="8" t="s">
        <v>260</v>
      </c>
      <c r="E75" s="4" t="str">
        <f t="shared" si="2"/>
        <v>PROPOSED notify</v>
      </c>
      <c r="F75" s="4" t="s">
        <v>61</v>
      </c>
      <c r="G75" s="8"/>
      <c r="H75" s="10" t="b">
        <v>1</v>
      </c>
      <c r="I75" s="8" t="s">
        <v>261</v>
      </c>
    </row>
    <row r="76" spans="1:9" ht="56.1" customHeight="1">
      <c r="A76" s="7" t="s">
        <v>262</v>
      </c>
      <c r="B76" s="6" t="b">
        <v>0</v>
      </c>
      <c r="C76" s="5" t="s">
        <v>59</v>
      </c>
      <c r="D76" s="7" t="s">
        <v>263</v>
      </c>
      <c r="E76" s="5" t="str">
        <f t="shared" si="2"/>
        <v>PROPOSED no_notify</v>
      </c>
      <c r="F76" s="5" t="s">
        <v>61</v>
      </c>
      <c r="G76" s="7" t="s">
        <v>188</v>
      </c>
      <c r="H76" s="9" t="b">
        <v>0</v>
      </c>
      <c r="I76" s="7" t="s">
        <v>264</v>
      </c>
    </row>
    <row r="77" spans="1:9" ht="56.1" customHeight="1">
      <c r="A77" s="8" t="s">
        <v>265</v>
      </c>
      <c r="B77" s="6" t="b">
        <v>1</v>
      </c>
      <c r="C77" s="4" t="s">
        <v>59</v>
      </c>
      <c r="D77" s="8" t="s">
        <v>266</v>
      </c>
      <c r="E77" s="4" t="str">
        <f t="shared" si="2"/>
        <v>PROPOSED notify</v>
      </c>
      <c r="F77" s="4" t="s">
        <v>61</v>
      </c>
      <c r="G77" s="8"/>
      <c r="H77" s="10" t="b">
        <v>1</v>
      </c>
      <c r="I77" s="8" t="s">
        <v>267</v>
      </c>
    </row>
    <row r="78" spans="1:9" ht="56.1" customHeight="1">
      <c r="A78" s="7" t="s">
        <v>268</v>
      </c>
      <c r="B78" s="6" t="b">
        <v>0</v>
      </c>
      <c r="C78" s="5" t="s">
        <v>59</v>
      </c>
      <c r="D78" s="7" t="s">
        <v>269</v>
      </c>
      <c r="E78" s="5" t="str">
        <f t="shared" si="2"/>
        <v>PROPOSED no_notify</v>
      </c>
      <c r="F78" s="5" t="s">
        <v>61</v>
      </c>
      <c r="G78" s="7" t="s">
        <v>188</v>
      </c>
      <c r="H78" s="9" t="b">
        <v>0</v>
      </c>
      <c r="I78" s="7" t="s">
        <v>270</v>
      </c>
    </row>
    <row r="79" spans="1:9" ht="56.1" customHeight="1">
      <c r="A79" s="8" t="s">
        <v>271</v>
      </c>
      <c r="B79" s="6" t="b">
        <v>0</v>
      </c>
      <c r="C79" s="4" t="s">
        <v>59</v>
      </c>
      <c r="D79" s="8" t="s">
        <v>272</v>
      </c>
      <c r="E79" s="4" t="str">
        <f t="shared" si="2"/>
        <v>PROPOSED no_notify</v>
      </c>
      <c r="F79" s="4" t="s">
        <v>61</v>
      </c>
      <c r="G79" s="8" t="s">
        <v>188</v>
      </c>
      <c r="H79" s="10" t="b">
        <v>0</v>
      </c>
      <c r="I79" s="8" t="s">
        <v>273</v>
      </c>
    </row>
    <row r="80" spans="1:9" ht="56.1" customHeight="1">
      <c r="A80" s="7" t="s">
        <v>274</v>
      </c>
      <c r="B80" s="6" t="b">
        <v>1</v>
      </c>
      <c r="C80" s="5" t="s">
        <v>65</v>
      </c>
      <c r="D80" s="7" t="s">
        <v>275</v>
      </c>
      <c r="E80" s="5" t="str">
        <f t="shared" si="2"/>
        <v>PROPOSED notify</v>
      </c>
      <c r="F80" s="5" t="s">
        <v>61</v>
      </c>
      <c r="G80" s="7"/>
      <c r="H80" s="9" t="b">
        <v>1</v>
      </c>
      <c r="I80" s="7" t="s">
        <v>276</v>
      </c>
    </row>
    <row r="81" spans="1:9" ht="56.1" customHeight="1">
      <c r="A81" s="8" t="s">
        <v>277</v>
      </c>
      <c r="B81" s="6" t="b">
        <v>0</v>
      </c>
      <c r="C81" s="4" t="s">
        <v>59</v>
      </c>
      <c r="D81" s="8" t="s">
        <v>278</v>
      </c>
      <c r="E81" s="4" t="str">
        <f t="shared" si="2"/>
        <v>PROPOSED no_notify</v>
      </c>
      <c r="F81" s="4" t="s">
        <v>61</v>
      </c>
      <c r="G81" s="8" t="s">
        <v>279</v>
      </c>
      <c r="H81" s="10" t="b">
        <v>0</v>
      </c>
      <c r="I81" s="8" t="s">
        <v>280</v>
      </c>
    </row>
    <row r="82" spans="1:9" ht="56.1" customHeight="1">
      <c r="A82" s="7" t="s">
        <v>281</v>
      </c>
      <c r="B82" s="6" t="b">
        <v>1</v>
      </c>
      <c r="C82" s="5" t="s">
        <v>59</v>
      </c>
      <c r="D82" s="7" t="s">
        <v>282</v>
      </c>
      <c r="E82" s="5" t="str">
        <f t="shared" si="2"/>
        <v>PROPOSED notify</v>
      </c>
      <c r="F82" s="5" t="s">
        <v>61</v>
      </c>
      <c r="G82" s="7"/>
      <c r="H82" s="9" t="b">
        <v>1</v>
      </c>
      <c r="I82" s="7" t="s">
        <v>283</v>
      </c>
    </row>
    <row r="83" spans="1:9" ht="56.1" customHeight="1">
      <c r="A83" s="8" t="s">
        <v>284</v>
      </c>
      <c r="B83" s="6" t="b">
        <v>0</v>
      </c>
      <c r="C83" s="4" t="s">
        <v>59</v>
      </c>
      <c r="D83" s="8" t="s">
        <v>285</v>
      </c>
      <c r="E83" s="4" t="str">
        <f t="shared" si="2"/>
        <v>PROPOSED no_notify</v>
      </c>
      <c r="F83" s="4" t="s">
        <v>61</v>
      </c>
      <c r="G83" s="8" t="s">
        <v>279</v>
      </c>
      <c r="H83" s="10" t="b">
        <v>0</v>
      </c>
      <c r="I83" s="8" t="s">
        <v>286</v>
      </c>
    </row>
    <row r="84" spans="1:9" ht="56.1" customHeight="1">
      <c r="A84" s="7" t="s">
        <v>287</v>
      </c>
      <c r="B84" s="6" t="b">
        <v>0</v>
      </c>
      <c r="C84" s="5" t="s">
        <v>59</v>
      </c>
      <c r="D84" s="7" t="s">
        <v>288</v>
      </c>
      <c r="E84" s="5" t="str">
        <f t="shared" si="2"/>
        <v>PROPOSED no_notify</v>
      </c>
      <c r="F84" s="5" t="s">
        <v>61</v>
      </c>
      <c r="G84" s="7" t="s">
        <v>279</v>
      </c>
      <c r="H84" s="9" t="b">
        <v>0</v>
      </c>
      <c r="I84" s="7" t="s">
        <v>289</v>
      </c>
    </row>
    <row r="85" spans="1:9" ht="56.1" customHeight="1">
      <c r="A85" s="8" t="s">
        <v>290</v>
      </c>
      <c r="B85" s="6" t="b">
        <v>1</v>
      </c>
      <c r="C85" s="4" t="s">
        <v>65</v>
      </c>
      <c r="D85" s="8" t="s">
        <v>291</v>
      </c>
      <c r="E85" s="4" t="str">
        <f t="shared" si="2"/>
        <v>PROPOSED notify</v>
      </c>
      <c r="F85" s="4" t="s">
        <v>61</v>
      </c>
      <c r="G85" s="8"/>
      <c r="H85" s="10" t="b">
        <v>1</v>
      </c>
      <c r="I85" s="8" t="s">
        <v>292</v>
      </c>
    </row>
    <row r="86" spans="1:9" ht="56.1" customHeight="1">
      <c r="A86" s="7" t="s">
        <v>293</v>
      </c>
      <c r="B86" s="6" t="b">
        <v>0</v>
      </c>
      <c r="C86" s="5" t="s">
        <v>59</v>
      </c>
      <c r="D86" s="7" t="s">
        <v>294</v>
      </c>
      <c r="E86" s="5" t="str">
        <f t="shared" si="2"/>
        <v>PROPOSED no_notify</v>
      </c>
      <c r="F86" s="5" t="s">
        <v>61</v>
      </c>
      <c r="G86" s="7" t="s">
        <v>295</v>
      </c>
      <c r="H86" s="9" t="b">
        <v>0</v>
      </c>
      <c r="I86" s="7" t="s">
        <v>296</v>
      </c>
    </row>
    <row r="87" spans="1:9" ht="56.1" customHeight="1">
      <c r="A87" s="8" t="s">
        <v>297</v>
      </c>
      <c r="B87" s="6" t="b">
        <v>0</v>
      </c>
      <c r="C87" s="4" t="s">
        <v>59</v>
      </c>
      <c r="D87" s="8" t="s">
        <v>298</v>
      </c>
      <c r="E87" s="4" t="str">
        <f t="shared" si="2"/>
        <v>PROPOSED no_notify</v>
      </c>
      <c r="F87" s="4" t="s">
        <v>61</v>
      </c>
      <c r="G87" s="8" t="s">
        <v>295</v>
      </c>
      <c r="H87" s="10" t="b">
        <v>0</v>
      </c>
      <c r="I87" s="8" t="s">
        <v>299</v>
      </c>
    </row>
    <row r="88" spans="1:9" ht="56.1" customHeight="1">
      <c r="A88" s="7" t="s">
        <v>300</v>
      </c>
      <c r="B88" s="6" t="b">
        <v>0</v>
      </c>
      <c r="C88" s="5" t="s">
        <v>59</v>
      </c>
      <c r="D88" s="7" t="s">
        <v>301</v>
      </c>
      <c r="E88" s="5" t="str">
        <f t="shared" si="2"/>
        <v>PROPOSED no_notify</v>
      </c>
      <c r="F88" s="5" t="s">
        <v>61</v>
      </c>
      <c r="G88" s="7" t="s">
        <v>295</v>
      </c>
      <c r="H88" s="9" t="b">
        <v>0</v>
      </c>
      <c r="I88" s="7" t="s">
        <v>302</v>
      </c>
    </row>
    <row r="89" spans="1:9" ht="56.1" customHeight="1">
      <c r="A89" s="8" t="s">
        <v>303</v>
      </c>
      <c r="B89" s="6" t="b">
        <v>0</v>
      </c>
      <c r="C89" s="4" t="s">
        <v>59</v>
      </c>
      <c r="D89" s="8" t="s">
        <v>304</v>
      </c>
      <c r="E89" s="4" t="str">
        <f t="shared" si="2"/>
        <v>PROPOSED no_notify</v>
      </c>
      <c r="F89" s="4" t="s">
        <v>61</v>
      </c>
      <c r="G89" s="8" t="s">
        <v>295</v>
      </c>
      <c r="H89" s="10" t="b">
        <v>0</v>
      </c>
      <c r="I89" s="8" t="s">
        <v>305</v>
      </c>
    </row>
    <row r="90" spans="1:9" ht="56.1" customHeight="1">
      <c r="A90" s="7" t="s">
        <v>306</v>
      </c>
      <c r="B90" s="6" t="b">
        <v>0</v>
      </c>
      <c r="C90" s="5" t="s">
        <v>65</v>
      </c>
      <c r="D90" s="7" t="s">
        <v>307</v>
      </c>
      <c r="E90" s="5" t="str">
        <f t="shared" si="2"/>
        <v>PROPOSED no_notify</v>
      </c>
      <c r="F90" s="5" t="s">
        <v>61</v>
      </c>
      <c r="G90" s="7" t="s">
        <v>308</v>
      </c>
      <c r="H90" s="9" t="b">
        <v>0</v>
      </c>
      <c r="I90" s="7" t="s">
        <v>309</v>
      </c>
    </row>
    <row r="91" spans="1:9" ht="56.1" customHeight="1">
      <c r="A91" s="8" t="s">
        <v>310</v>
      </c>
      <c r="B91" s="6" t="b">
        <v>0</v>
      </c>
      <c r="C91" s="4" t="s">
        <v>65</v>
      </c>
      <c r="D91" s="8" t="s">
        <v>311</v>
      </c>
      <c r="E91" s="4" t="str">
        <f t="shared" si="2"/>
        <v>PROPOSED no_notify</v>
      </c>
      <c r="F91" s="4" t="s">
        <v>61</v>
      </c>
      <c r="G91" s="8" t="s">
        <v>308</v>
      </c>
      <c r="H91" s="10" t="b">
        <v>0</v>
      </c>
      <c r="I91" s="8" t="s">
        <v>312</v>
      </c>
    </row>
    <row r="92" spans="1:9" ht="56.1" customHeight="1">
      <c r="A92" s="7" t="s">
        <v>313</v>
      </c>
      <c r="B92" s="6" t="b">
        <v>0</v>
      </c>
      <c r="C92" s="5" t="s">
        <v>65</v>
      </c>
      <c r="D92" s="7" t="s">
        <v>314</v>
      </c>
      <c r="E92" s="5" t="str">
        <f t="shared" si="2"/>
        <v>PROPOSED no_notify</v>
      </c>
      <c r="F92" s="5" t="s">
        <v>61</v>
      </c>
      <c r="G92" s="7" t="s">
        <v>308</v>
      </c>
      <c r="H92" s="9" t="b">
        <v>0</v>
      </c>
      <c r="I92" s="7" t="s">
        <v>315</v>
      </c>
    </row>
    <row r="93" spans="1:9" ht="56.1" customHeight="1">
      <c r="A93" s="8" t="s">
        <v>316</v>
      </c>
      <c r="B93" s="6" t="b">
        <v>0</v>
      </c>
      <c r="C93" s="4" t="s">
        <v>65</v>
      </c>
      <c r="D93" s="8" t="s">
        <v>317</v>
      </c>
      <c r="E93" s="4" t="str">
        <f t="shared" si="2"/>
        <v>PROPOSED no_notify</v>
      </c>
      <c r="F93" s="4" t="s">
        <v>61</v>
      </c>
      <c r="G93" s="8" t="s">
        <v>308</v>
      </c>
      <c r="H93" s="10" t="b">
        <v>0</v>
      </c>
      <c r="I93" s="8" t="s">
        <v>318</v>
      </c>
    </row>
    <row r="94" spans="1:9" ht="56.1" customHeight="1">
      <c r="A94" s="7" t="s">
        <v>319</v>
      </c>
      <c r="B94" s="6" t="b">
        <v>1</v>
      </c>
      <c r="C94" s="5" t="s">
        <v>65</v>
      </c>
      <c r="D94" s="7" t="s">
        <v>320</v>
      </c>
      <c r="E94" s="5" t="str">
        <f t="shared" si="2"/>
        <v>PROPOSED notify</v>
      </c>
      <c r="F94" s="5" t="s">
        <v>61</v>
      </c>
      <c r="G94" s="7"/>
      <c r="H94" s="9" t="b">
        <v>1</v>
      </c>
      <c r="I94" s="7" t="s">
        <v>321</v>
      </c>
    </row>
    <row r="95" spans="1:9" ht="56.1" customHeight="1">
      <c r="A95" s="8" t="s">
        <v>322</v>
      </c>
      <c r="B95" s="6" t="b">
        <v>1</v>
      </c>
      <c r="C95" s="4" t="s">
        <v>65</v>
      </c>
      <c r="D95" s="8" t="s">
        <v>323</v>
      </c>
      <c r="E95" s="4" t="str">
        <f t="shared" si="2"/>
        <v>PROPOSED notify</v>
      </c>
      <c r="F95" s="4" t="s">
        <v>61</v>
      </c>
      <c r="G95" s="8"/>
      <c r="H95" s="10" t="b">
        <v>1</v>
      </c>
      <c r="I95" s="8" t="s">
        <v>324</v>
      </c>
    </row>
    <row r="96" spans="1:9" ht="56.1" customHeight="1">
      <c r="A96" s="7" t="s">
        <v>325</v>
      </c>
      <c r="B96" s="6" t="b">
        <v>1</v>
      </c>
      <c r="C96" s="5" t="s">
        <v>65</v>
      </c>
      <c r="D96" s="7" t="s">
        <v>326</v>
      </c>
      <c r="E96" s="5" t="str">
        <f t="shared" si="2"/>
        <v>PROPOSED notify</v>
      </c>
      <c r="F96" s="5" t="s">
        <v>61</v>
      </c>
      <c r="G96" s="7"/>
      <c r="H96" s="9" t="b">
        <v>1</v>
      </c>
      <c r="I96" s="7" t="s">
        <v>327</v>
      </c>
    </row>
    <row r="97" spans="1:9" ht="56.1" customHeight="1">
      <c r="A97" s="8" t="s">
        <v>328</v>
      </c>
      <c r="B97" s="6" t="b">
        <v>1</v>
      </c>
      <c r="C97" s="4" t="s">
        <v>59</v>
      </c>
      <c r="D97" s="8" t="s">
        <v>329</v>
      </c>
      <c r="E97" s="4" t="str">
        <f t="shared" si="2"/>
        <v>PROPOSED notify</v>
      </c>
      <c r="F97" s="4" t="s">
        <v>61</v>
      </c>
      <c r="G97" s="8"/>
      <c r="H97" s="10" t="b">
        <v>1</v>
      </c>
      <c r="I97" s="8" t="s">
        <v>330</v>
      </c>
    </row>
    <row r="98" spans="1:9" ht="56.1" customHeight="1">
      <c r="A98" s="7" t="s">
        <v>331</v>
      </c>
      <c r="B98" s="6" t="b">
        <v>1</v>
      </c>
      <c r="C98" s="5" t="s">
        <v>65</v>
      </c>
      <c r="D98" s="7" t="s">
        <v>332</v>
      </c>
      <c r="E98" s="5" t="str">
        <f t="shared" si="2"/>
        <v>PROPOSED notify</v>
      </c>
      <c r="F98" s="5" t="s">
        <v>61</v>
      </c>
      <c r="G98" s="7"/>
      <c r="H98" s="9" t="b">
        <v>1</v>
      </c>
      <c r="I98" s="7" t="s">
        <v>333</v>
      </c>
    </row>
    <row r="99" spans="1:9" ht="56.1" customHeight="1">
      <c r="A99" s="8" t="s">
        <v>334</v>
      </c>
      <c r="B99" s="6" t="b">
        <v>0</v>
      </c>
      <c r="C99" s="4" t="s">
        <v>65</v>
      </c>
      <c r="D99" s="8" t="s">
        <v>335</v>
      </c>
      <c r="E99" s="4" t="str">
        <f t="shared" si="2"/>
        <v>PROPOSED no_notify</v>
      </c>
      <c r="F99" s="4" t="s">
        <v>336</v>
      </c>
      <c r="G99" s="8" t="s">
        <v>337</v>
      </c>
      <c r="H99" s="11" t="s">
        <v>338</v>
      </c>
      <c r="I99" s="8" t="s">
        <v>339</v>
      </c>
    </row>
    <row r="100" spans="1:9" ht="56.1" customHeight="1">
      <c r="A100" s="7" t="s">
        <v>340</v>
      </c>
      <c r="B100" s="6" t="b">
        <v>0</v>
      </c>
      <c r="C100" s="5" t="s">
        <v>65</v>
      </c>
      <c r="D100" s="7" t="s">
        <v>341</v>
      </c>
      <c r="E100" s="5" t="str">
        <f t="shared" si="2"/>
        <v>PROPOSED no_notify</v>
      </c>
      <c r="F100" s="5" t="s">
        <v>342</v>
      </c>
      <c r="G100" s="7" t="s">
        <v>343</v>
      </c>
      <c r="H100" s="12" t="s">
        <v>338</v>
      </c>
      <c r="I100" s="7" t="s">
        <v>344</v>
      </c>
    </row>
    <row r="101" spans="1:9" ht="56.1" customHeight="1">
      <c r="A101" s="8" t="s">
        <v>345</v>
      </c>
      <c r="B101" s="6" t="b">
        <v>0</v>
      </c>
      <c r="C101" s="4" t="s">
        <v>65</v>
      </c>
      <c r="D101" s="8" t="s">
        <v>346</v>
      </c>
      <c r="E101" s="4" t="str">
        <f t="shared" si="2"/>
        <v>PROPOSED no_notify</v>
      </c>
      <c r="F101" s="4" t="s">
        <v>336</v>
      </c>
      <c r="G101" s="8" t="s">
        <v>347</v>
      </c>
      <c r="H101" s="11" t="s">
        <v>338</v>
      </c>
      <c r="I101" s="8" t="s">
        <v>348</v>
      </c>
    </row>
    <row r="102" spans="1:9" ht="56.1" customHeight="1">
      <c r="A102" s="7" t="s">
        <v>349</v>
      </c>
      <c r="B102" s="6" t="b">
        <v>0</v>
      </c>
      <c r="C102" s="5" t="s">
        <v>65</v>
      </c>
      <c r="D102" s="7" t="s">
        <v>350</v>
      </c>
      <c r="E102" s="5" t="str">
        <f t="shared" si="2"/>
        <v>PROPOSED no_notify</v>
      </c>
      <c r="F102" s="5" t="s">
        <v>342</v>
      </c>
      <c r="G102" s="7" t="s">
        <v>351</v>
      </c>
      <c r="H102" s="12" t="s">
        <v>338</v>
      </c>
      <c r="I102" s="7" t="s">
        <v>352</v>
      </c>
    </row>
    <row r="103" spans="1:9" ht="56.1" customHeight="1">
      <c r="A103" s="8" t="s">
        <v>353</v>
      </c>
      <c r="B103" s="6" t="b">
        <v>0</v>
      </c>
      <c r="C103" s="4" t="s">
        <v>65</v>
      </c>
      <c r="D103" s="8" t="s">
        <v>354</v>
      </c>
      <c r="E103" s="4" t="str">
        <f t="shared" si="2"/>
        <v>PROPOSED no_notify</v>
      </c>
      <c r="F103" s="4" t="s">
        <v>336</v>
      </c>
      <c r="G103" s="8" t="s">
        <v>355</v>
      </c>
      <c r="H103" s="11" t="s">
        <v>338</v>
      </c>
      <c r="I103" s="8" t="s">
        <v>356</v>
      </c>
    </row>
    <row r="104" spans="1:9" ht="56.1" customHeight="1">
      <c r="A104" s="7" t="s">
        <v>357</v>
      </c>
      <c r="B104" s="6" t="b">
        <v>0</v>
      </c>
      <c r="C104" s="5" t="s">
        <v>65</v>
      </c>
      <c r="D104" s="7" t="s">
        <v>358</v>
      </c>
      <c r="E104" s="5" t="str">
        <f t="shared" si="2"/>
        <v>PROPOSED no_notify</v>
      </c>
      <c r="F104" s="5" t="s">
        <v>342</v>
      </c>
      <c r="G104" s="7" t="s">
        <v>359</v>
      </c>
      <c r="H104" s="12" t="s">
        <v>338</v>
      </c>
      <c r="I104" s="7" t="s">
        <v>360</v>
      </c>
    </row>
    <row r="105" spans="1:9" ht="56.1" customHeight="1">
      <c r="A105" s="8" t="s">
        <v>361</v>
      </c>
      <c r="B105" s="6" t="b">
        <v>0</v>
      </c>
      <c r="C105" s="4" t="s">
        <v>65</v>
      </c>
      <c r="D105" s="8" t="s">
        <v>362</v>
      </c>
      <c r="E105" s="4" t="str">
        <f t="shared" si="2"/>
        <v>PROPOSED no_notify</v>
      </c>
      <c r="F105" s="4" t="s">
        <v>336</v>
      </c>
      <c r="G105" s="8" t="s">
        <v>363</v>
      </c>
      <c r="H105" s="11" t="s">
        <v>338</v>
      </c>
      <c r="I105" s="8" t="s">
        <v>364</v>
      </c>
    </row>
    <row r="106" spans="1:9" ht="56.1" customHeight="1">
      <c r="A106" s="7" t="s">
        <v>365</v>
      </c>
      <c r="B106" s="6" t="b">
        <v>0</v>
      </c>
      <c r="C106" s="5" t="s">
        <v>65</v>
      </c>
      <c r="D106" s="7" t="s">
        <v>366</v>
      </c>
      <c r="E106" s="5" t="str">
        <f t="shared" ref="E106:E118" si="3">IF(ISBLANK(B106),"REVIEW",IF(B106,"PROPOSED notify","PROPOSED no_notify"))</f>
        <v>PROPOSED no_notify</v>
      </c>
      <c r="F106" s="5" t="s">
        <v>342</v>
      </c>
      <c r="G106" s="7" t="s">
        <v>367</v>
      </c>
      <c r="H106" s="12" t="s">
        <v>338</v>
      </c>
      <c r="I106" s="7" t="s">
        <v>368</v>
      </c>
    </row>
    <row r="107" spans="1:9" ht="56.1" customHeight="1">
      <c r="A107" s="8" t="s">
        <v>369</v>
      </c>
      <c r="B107" s="6" t="b">
        <v>0</v>
      </c>
      <c r="C107" s="4" t="s">
        <v>65</v>
      </c>
      <c r="D107" s="8" t="s">
        <v>370</v>
      </c>
      <c r="E107" s="4" t="str">
        <f t="shared" si="3"/>
        <v>PROPOSED no_notify</v>
      </c>
      <c r="F107" s="4" t="s">
        <v>336</v>
      </c>
      <c r="G107" s="8" t="s">
        <v>371</v>
      </c>
      <c r="H107" s="11" t="s">
        <v>338</v>
      </c>
      <c r="I107" s="8" t="s">
        <v>372</v>
      </c>
    </row>
    <row r="108" spans="1:9" ht="56.1" customHeight="1">
      <c r="A108" s="7" t="s">
        <v>373</v>
      </c>
      <c r="B108" s="6" t="b">
        <v>0</v>
      </c>
      <c r="C108" s="5" t="s">
        <v>65</v>
      </c>
      <c r="D108" s="7" t="s">
        <v>374</v>
      </c>
      <c r="E108" s="5" t="str">
        <f t="shared" si="3"/>
        <v>PROPOSED no_notify</v>
      </c>
      <c r="F108" s="5" t="s">
        <v>342</v>
      </c>
      <c r="G108" s="7" t="s">
        <v>375</v>
      </c>
      <c r="H108" s="12" t="s">
        <v>338</v>
      </c>
      <c r="I108" s="7" t="s">
        <v>376</v>
      </c>
    </row>
    <row r="109" spans="1:9" ht="56.1" customHeight="1">
      <c r="A109" s="8" t="s">
        <v>377</v>
      </c>
      <c r="B109" s="6" t="b">
        <v>0</v>
      </c>
      <c r="C109" s="4" t="s">
        <v>65</v>
      </c>
      <c r="D109" s="8" t="s">
        <v>378</v>
      </c>
      <c r="E109" s="4" t="str">
        <f t="shared" si="3"/>
        <v>PROPOSED no_notify</v>
      </c>
      <c r="F109" s="4" t="s">
        <v>379</v>
      </c>
      <c r="G109" s="8" t="s">
        <v>380</v>
      </c>
      <c r="H109" s="11" t="s">
        <v>338</v>
      </c>
      <c r="I109" s="8" t="s">
        <v>381</v>
      </c>
    </row>
    <row r="110" spans="1:9" ht="56.1" customHeight="1">
      <c r="A110" s="7" t="s">
        <v>382</v>
      </c>
      <c r="B110" s="6" t="b">
        <v>0</v>
      </c>
      <c r="C110" s="5" t="s">
        <v>65</v>
      </c>
      <c r="D110" s="7" t="s">
        <v>383</v>
      </c>
      <c r="E110" s="5" t="str">
        <f t="shared" si="3"/>
        <v>PROPOSED no_notify</v>
      </c>
      <c r="F110" s="5" t="s">
        <v>336</v>
      </c>
      <c r="G110" s="7" t="s">
        <v>384</v>
      </c>
      <c r="H110" s="12" t="s">
        <v>338</v>
      </c>
      <c r="I110" s="7" t="s">
        <v>385</v>
      </c>
    </row>
    <row r="111" spans="1:9" ht="56.1" customHeight="1">
      <c r="A111" s="8" t="s">
        <v>386</v>
      </c>
      <c r="B111" s="6" t="b">
        <v>0</v>
      </c>
      <c r="C111" s="4" t="s">
        <v>65</v>
      </c>
      <c r="D111" s="8" t="s">
        <v>387</v>
      </c>
      <c r="E111" s="4" t="str">
        <f t="shared" si="3"/>
        <v>PROPOSED no_notify</v>
      </c>
      <c r="F111" s="4" t="s">
        <v>342</v>
      </c>
      <c r="G111" s="8" t="s">
        <v>388</v>
      </c>
      <c r="H111" s="11" t="s">
        <v>338</v>
      </c>
      <c r="I111" s="8" t="s">
        <v>389</v>
      </c>
    </row>
    <row r="112" spans="1:9" ht="56.1" customHeight="1">
      <c r="A112" s="7" t="s">
        <v>390</v>
      </c>
      <c r="B112" s="6" t="b">
        <v>0</v>
      </c>
      <c r="C112" s="5" t="s">
        <v>65</v>
      </c>
      <c r="D112" s="7" t="s">
        <v>391</v>
      </c>
      <c r="E112" s="5" t="str">
        <f t="shared" si="3"/>
        <v>PROPOSED no_notify</v>
      </c>
      <c r="F112" s="5" t="s">
        <v>336</v>
      </c>
      <c r="G112" s="7" t="s">
        <v>392</v>
      </c>
      <c r="H112" s="12" t="s">
        <v>338</v>
      </c>
      <c r="I112" s="7" t="s">
        <v>393</v>
      </c>
    </row>
    <row r="113" spans="1:9" ht="56.1" customHeight="1">
      <c r="A113" s="8" t="s">
        <v>394</v>
      </c>
      <c r="B113" s="6" t="b">
        <v>0</v>
      </c>
      <c r="C113" s="4" t="s">
        <v>65</v>
      </c>
      <c r="D113" s="8" t="s">
        <v>395</v>
      </c>
      <c r="E113" s="4" t="str">
        <f t="shared" si="3"/>
        <v>PROPOSED no_notify</v>
      </c>
      <c r="F113" s="4" t="s">
        <v>342</v>
      </c>
      <c r="G113" s="8" t="s">
        <v>396</v>
      </c>
      <c r="H113" s="11" t="s">
        <v>338</v>
      </c>
      <c r="I113" s="8" t="s">
        <v>397</v>
      </c>
    </row>
    <row r="114" spans="1:9" ht="56.1" customHeight="1">
      <c r="A114" s="7" t="s">
        <v>398</v>
      </c>
      <c r="B114" s="6" t="b">
        <v>0</v>
      </c>
      <c r="C114" s="5" t="s">
        <v>65</v>
      </c>
      <c r="D114" s="7" t="s">
        <v>399</v>
      </c>
      <c r="E114" s="5" t="str">
        <f t="shared" si="3"/>
        <v>PROPOSED no_notify</v>
      </c>
      <c r="F114" s="5" t="s">
        <v>336</v>
      </c>
      <c r="G114" s="7" t="s">
        <v>400</v>
      </c>
      <c r="H114" s="12" t="s">
        <v>338</v>
      </c>
      <c r="I114" s="7" t="s">
        <v>401</v>
      </c>
    </row>
    <row r="115" spans="1:9" ht="56.1" customHeight="1">
      <c r="A115" s="8" t="s">
        <v>402</v>
      </c>
      <c r="B115" s="6" t="b">
        <v>0</v>
      </c>
      <c r="C115" s="4" t="s">
        <v>65</v>
      </c>
      <c r="D115" s="8" t="s">
        <v>403</v>
      </c>
      <c r="E115" s="4" t="str">
        <f t="shared" si="3"/>
        <v>PROPOSED no_notify</v>
      </c>
      <c r="F115" s="4" t="s">
        <v>342</v>
      </c>
      <c r="G115" s="8" t="s">
        <v>404</v>
      </c>
      <c r="H115" s="11" t="s">
        <v>338</v>
      </c>
      <c r="I115" s="8" t="s">
        <v>405</v>
      </c>
    </row>
    <row r="116" spans="1:9" ht="56.1" customHeight="1">
      <c r="A116" s="7" t="s">
        <v>406</v>
      </c>
      <c r="B116" s="6" t="b">
        <v>0</v>
      </c>
      <c r="C116" s="5" t="s">
        <v>65</v>
      </c>
      <c r="D116" s="7" t="s">
        <v>407</v>
      </c>
      <c r="E116" s="5" t="str">
        <f t="shared" si="3"/>
        <v>PROPOSED no_notify</v>
      </c>
      <c r="F116" s="5" t="s">
        <v>379</v>
      </c>
      <c r="G116" s="7" t="s">
        <v>408</v>
      </c>
      <c r="H116" s="12" t="s">
        <v>338</v>
      </c>
      <c r="I116" s="7" t="s">
        <v>409</v>
      </c>
    </row>
    <row r="117" spans="1:9" ht="56.1" customHeight="1">
      <c r="A117" s="8" t="s">
        <v>410</v>
      </c>
      <c r="B117" s="6" t="b">
        <v>0</v>
      </c>
      <c r="C117" s="4" t="s">
        <v>65</v>
      </c>
      <c r="D117" s="8" t="s">
        <v>411</v>
      </c>
      <c r="E117" s="4" t="str">
        <f t="shared" si="3"/>
        <v>PROPOSED no_notify</v>
      </c>
      <c r="F117" s="4" t="s">
        <v>379</v>
      </c>
      <c r="G117" s="8" t="s">
        <v>412</v>
      </c>
      <c r="H117" s="11" t="s">
        <v>338</v>
      </c>
      <c r="I117" s="8" t="s">
        <v>413</v>
      </c>
    </row>
    <row r="118" spans="1:9" ht="56.1" customHeight="1">
      <c r="A118" s="7" t="s">
        <v>414</v>
      </c>
      <c r="B118" s="6" t="b">
        <v>0</v>
      </c>
      <c r="C118" s="5" t="s">
        <v>65</v>
      </c>
      <c r="D118" s="7" t="s">
        <v>415</v>
      </c>
      <c r="E118" s="5" t="str">
        <f t="shared" si="3"/>
        <v>PROPOSED no_notify</v>
      </c>
      <c r="F118" s="5" t="s">
        <v>379</v>
      </c>
      <c r="G118" s="7" t="s">
        <v>416</v>
      </c>
      <c r="H118" s="12" t="s">
        <v>338</v>
      </c>
      <c r="I118" s="7" t="s">
        <v>417</v>
      </c>
    </row>
  </sheetData>
  <mergeCells count="5">
    <mergeCell ref="A2:I2"/>
    <mergeCell ref="A3:I3"/>
    <mergeCell ref="A5:D5"/>
    <mergeCell ref="E5:I5"/>
    <mergeCell ref="A8:I8"/>
  </mergeCells>
  <conditionalFormatting sqref="H10:H118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e5ceae6-df77-4a14-8bba-25af5c0973dc}" enabled="1" method="Standard" siteId="{8ef21bcf-3a08-4177-a565-a7c8a2f1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Alarm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Henrik Erdal</cp:lastModifiedBy>
  <dcterms:modified xsi:type="dcterms:W3CDTF">2026-10-23T13:59:58Z</dcterms:modified>
</cp:coreProperties>
</file>